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32" customWidth="1" min="4" max="4"/>
    <col width="20" customWidth="1" min="5" max="5"/>
    <col width="18" customWidth="1" min="6" max="6"/>
    <col width="22" customWidth="1" min="7" max="7"/>
    <col width="17" customWidth="1" min="8" max="8"/>
    <col width="52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inlineStr"/>
    </row>
    <row r="7">
      <c r="C7" s="2" t="n"/>
      <c r="D7" s="4" t="n"/>
      <c r="F7" s="2" t="inlineStr">
        <is>
          <t>TOTAL s/ DETALLE</t>
        </is>
      </c>
      <c r="G7" s="5" t="n">
        <v>-1951693656.12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-1951693656.12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/>
      <c r="E12" t="inlineStr">
        <is>
          <t>Transferencia</t>
        </is>
      </c>
      <c r="F12" s="6" t="inlineStr"/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Factura</t>
        </is>
      </c>
      <c r="D19" s="10" t="inlineStr">
        <is>
          <t>PMP1273112</t>
        </is>
      </c>
      <c r="E19" s="6" t="n">
        <v>27974992</v>
      </c>
      <c r="F19" s="10" t="inlineStr"/>
      <c r="G19" s="10" t="inlineStr"/>
      <c r="H19" s="6" t="n">
        <v>27974992</v>
      </c>
      <c r="I19" s="11" t="inlineStr"/>
    </row>
    <row r="20">
      <c r="C20" s="10" t="inlineStr">
        <is>
          <t>Factura</t>
        </is>
      </c>
      <c r="D20" s="10" t="inlineStr">
        <is>
          <t>PMP1273596</t>
        </is>
      </c>
      <c r="E20" s="6" t="n">
        <v>28749643</v>
      </c>
      <c r="F20" s="10" t="inlineStr"/>
      <c r="G20" s="10" t="inlineStr"/>
      <c r="H20" s="6" t="n">
        <v>28749643</v>
      </c>
      <c r="I20" s="11" t="inlineStr"/>
    </row>
    <row r="21">
      <c r="C21" s="10" t="inlineStr">
        <is>
          <t>Factura</t>
        </is>
      </c>
      <c r="D21" s="10" t="inlineStr">
        <is>
          <t>PMP1273863</t>
        </is>
      </c>
      <c r="E21" s="6" t="n">
        <v>11408205</v>
      </c>
      <c r="F21" s="10" t="inlineStr"/>
      <c r="G21" s="10" t="inlineStr"/>
      <c r="H21" s="6" t="n">
        <v>11408205</v>
      </c>
      <c r="I21" s="11" t="inlineStr"/>
    </row>
    <row r="22">
      <c r="C22" s="10" t="inlineStr">
        <is>
          <t>Factura</t>
        </is>
      </c>
      <c r="D22" s="10" t="inlineStr">
        <is>
          <t>PMP1273878</t>
        </is>
      </c>
      <c r="E22" s="6" t="n">
        <v>154734955</v>
      </c>
      <c r="F22" s="10" t="inlineStr"/>
      <c r="G22" s="10" t="inlineStr"/>
      <c r="H22" s="6" t="n">
        <v>154734955</v>
      </c>
      <c r="I22" s="11" t="inlineStr"/>
    </row>
    <row r="23">
      <c r="C23" s="10" t="inlineStr">
        <is>
          <t>Descuentos no asociados a FC</t>
        </is>
      </c>
      <c r="D23" s="10" t="inlineStr">
        <is>
          <t>PMP1273878</t>
        </is>
      </c>
      <c r="E23" s="6" t="n">
        <v>0.6800000071525574</v>
      </c>
      <c r="F23" s="10" t="inlineStr">
        <is>
          <t>MENORES VALORES</t>
        </is>
      </c>
      <c r="G23" s="10" t="inlineStr">
        <is>
          <t>384</t>
        </is>
      </c>
      <c r="H23" s="6" t="n">
        <v>0.6800000071525574</v>
      </c>
      <c r="I23" s="11" t="inlineStr">
        <is>
          <t>MENORES VALORES</t>
        </is>
      </c>
    </row>
    <row r="24">
      <c r="C24" s="10" t="inlineStr">
        <is>
          <t>Factura</t>
        </is>
      </c>
      <c r="D24" s="10" t="inlineStr">
        <is>
          <t>PMP1276666</t>
        </is>
      </c>
      <c r="E24" s="6" t="n">
        <v>64246828</v>
      </c>
      <c r="F24" s="10" t="inlineStr"/>
      <c r="G24" s="10" t="inlineStr"/>
      <c r="H24" s="6" t="n">
        <v>64246828</v>
      </c>
      <c r="I24" s="11" t="inlineStr"/>
    </row>
    <row r="25">
      <c r="C25" s="10" t="inlineStr">
        <is>
          <t>Factura</t>
        </is>
      </c>
      <c r="D25" s="10" t="inlineStr">
        <is>
          <t>PMP1276668</t>
        </is>
      </c>
      <c r="E25" s="6" t="n">
        <v>65729254</v>
      </c>
      <c r="F25" s="10" t="inlineStr"/>
      <c r="G25" s="10" t="inlineStr"/>
      <c r="H25" s="6" t="n">
        <v>65729254</v>
      </c>
      <c r="I25" s="11" t="inlineStr"/>
    </row>
    <row r="26">
      <c r="C26" s="10" t="inlineStr">
        <is>
          <t>Descuentos no asociados a FC</t>
        </is>
      </c>
      <c r="D26" s="10" t="inlineStr">
        <is>
          <t>PMP1276668</t>
        </is>
      </c>
      <c r="E26" s="6" t="n">
        <v>0.6599999964237213</v>
      </c>
      <c r="F26" s="10" t="inlineStr">
        <is>
          <t>MENORES VALORES</t>
        </is>
      </c>
      <c r="G26" s="10" t="inlineStr">
        <is>
          <t>384</t>
        </is>
      </c>
      <c r="H26" s="6" t="n">
        <v>0.6599999964237213</v>
      </c>
      <c r="I26" s="11" t="inlineStr">
        <is>
          <t>MENORES VALORES</t>
        </is>
      </c>
    </row>
    <row r="27">
      <c r="C27" s="10" t="inlineStr">
        <is>
          <t>Factura</t>
        </is>
      </c>
      <c r="D27" s="10" t="inlineStr">
        <is>
          <t>PMP1276669</t>
        </is>
      </c>
      <c r="E27" s="6" t="n">
        <v>18919275</v>
      </c>
      <c r="F27" s="10" t="inlineStr"/>
      <c r="G27" s="10" t="inlineStr"/>
      <c r="H27" s="6" t="n">
        <v>18919275</v>
      </c>
      <c r="I27" s="11" t="inlineStr"/>
    </row>
    <row r="28">
      <c r="C28" s="10" t="inlineStr">
        <is>
          <t>Descuentos no asociados a FC</t>
        </is>
      </c>
      <c r="D28" s="10" t="inlineStr">
        <is>
          <t>PMP1276669</t>
        </is>
      </c>
      <c r="E28" s="6" t="n">
        <v>1.96000000089407</v>
      </c>
      <c r="F28" s="10" t="inlineStr">
        <is>
          <t>MENORES VALORES</t>
        </is>
      </c>
      <c r="G28" s="10" t="inlineStr">
        <is>
          <t>384</t>
        </is>
      </c>
      <c r="H28" s="6" t="n">
        <v>1.96000000089407</v>
      </c>
      <c r="I28" s="11" t="inlineStr">
        <is>
          <t>MENORES VALORES</t>
        </is>
      </c>
    </row>
    <row r="29">
      <c r="C29" s="10" t="inlineStr">
        <is>
          <t>Factura</t>
        </is>
      </c>
      <c r="D29" s="10" t="inlineStr">
        <is>
          <t>PMP1276670</t>
        </is>
      </c>
      <c r="E29" s="6" t="n">
        <v>8387269</v>
      </c>
      <c r="F29" s="10" t="inlineStr"/>
      <c r="G29" s="10" t="inlineStr"/>
      <c r="H29" s="6" t="n">
        <v>8387269</v>
      </c>
      <c r="I29" s="11" t="inlineStr"/>
    </row>
    <row r="30">
      <c r="C30" s="10" t="inlineStr">
        <is>
          <t>Descuentos no asociados a FC</t>
        </is>
      </c>
      <c r="D30" s="10" t="inlineStr">
        <is>
          <t>PMP1276670</t>
        </is>
      </c>
      <c r="E30" s="6" t="n">
        <v>2.71999999973923</v>
      </c>
      <c r="F30" s="10" t="inlineStr">
        <is>
          <t>MENORES VALORES</t>
        </is>
      </c>
      <c r="G30" s="10" t="inlineStr">
        <is>
          <t>384</t>
        </is>
      </c>
      <c r="H30" s="6" t="n">
        <v>2.71999999973923</v>
      </c>
      <c r="I30" s="11" t="inlineStr">
        <is>
          <t>MENORES VALORES</t>
        </is>
      </c>
    </row>
    <row r="31">
      <c r="C31" s="10" t="inlineStr">
        <is>
          <t>Factura</t>
        </is>
      </c>
      <c r="D31" s="10" t="inlineStr">
        <is>
          <t>PMP1276671</t>
        </is>
      </c>
      <c r="E31" s="6" t="n">
        <v>23118825</v>
      </c>
      <c r="F31" s="10" t="inlineStr"/>
      <c r="G31" s="10" t="inlineStr"/>
      <c r="H31" s="6" t="n">
        <v>23118825</v>
      </c>
      <c r="I31" s="11" t="inlineStr"/>
    </row>
    <row r="32">
      <c r="C32" s="10" t="inlineStr">
        <is>
          <t>Descuentos no asociados a FC</t>
        </is>
      </c>
      <c r="D32" s="10" t="inlineStr">
        <is>
          <t>PMP1276671</t>
        </is>
      </c>
      <c r="E32" s="6" t="n">
        <v>0.5399999991059303</v>
      </c>
      <c r="F32" s="10" t="inlineStr">
        <is>
          <t>MENORES VALORES</t>
        </is>
      </c>
      <c r="G32" s="10" t="inlineStr">
        <is>
          <t>384</t>
        </is>
      </c>
      <c r="H32" s="6" t="n">
        <v>0.5399999991059303</v>
      </c>
      <c r="I32" s="11" t="inlineStr">
        <is>
          <t>MENORES VALORES</t>
        </is>
      </c>
    </row>
    <row r="33">
      <c r="C33" s="10" t="inlineStr">
        <is>
          <t>Factura</t>
        </is>
      </c>
      <c r="D33" s="10" t="inlineStr">
        <is>
          <t>PMP1276672</t>
        </is>
      </c>
      <c r="E33" s="6" t="n">
        <v>223440</v>
      </c>
      <c r="F33" s="10" t="inlineStr"/>
      <c r="G33" s="10" t="inlineStr"/>
      <c r="H33" s="6" t="n">
        <v>223440</v>
      </c>
      <c r="I33" s="11" t="inlineStr"/>
    </row>
    <row r="34">
      <c r="C34" s="10" t="inlineStr">
        <is>
          <t>Descuentos no asociados a FC</t>
        </is>
      </c>
      <c r="D34" s="10" t="inlineStr">
        <is>
          <t>PMP1276672</t>
        </is>
      </c>
      <c r="E34" s="6" t="n">
        <v>0.07999999998719431</v>
      </c>
      <c r="F34" s="10" t="inlineStr">
        <is>
          <t>MENORES VALORES</t>
        </is>
      </c>
      <c r="G34" s="10" t="inlineStr">
        <is>
          <t>384</t>
        </is>
      </c>
      <c r="H34" s="6" t="n">
        <v>0.07999999998719431</v>
      </c>
      <c r="I34" s="11" t="inlineStr">
        <is>
          <t>MENORES VALORES</t>
        </is>
      </c>
    </row>
    <row r="35">
      <c r="C35" s="10" t="inlineStr">
        <is>
          <t>Factura</t>
        </is>
      </c>
      <c r="D35" s="10" t="inlineStr">
        <is>
          <t>PMP1276673</t>
        </is>
      </c>
      <c r="E35" s="6" t="n">
        <v>2457840</v>
      </c>
      <c r="F35" s="10" t="inlineStr"/>
      <c r="G35" s="10" t="inlineStr"/>
      <c r="H35" s="6" t="n">
        <v>2457840</v>
      </c>
      <c r="I35" s="11" t="inlineStr"/>
    </row>
    <row r="36">
      <c r="C36" s="10" t="inlineStr">
        <is>
          <t>Factura</t>
        </is>
      </c>
      <c r="D36" s="10" t="inlineStr">
        <is>
          <t>PMP1276988</t>
        </is>
      </c>
      <c r="E36" s="6" t="n">
        <v>111183834</v>
      </c>
      <c r="F36" s="10" t="inlineStr"/>
      <c r="G36" s="10" t="inlineStr"/>
      <c r="H36" s="6" t="n">
        <v>111183834</v>
      </c>
      <c r="I36" s="11" t="inlineStr"/>
    </row>
    <row r="37">
      <c r="C37" s="10" t="inlineStr">
        <is>
          <t>Descuentos no asociados a FC</t>
        </is>
      </c>
      <c r="D37" s="10" t="inlineStr">
        <is>
          <t>PMP1276988</t>
        </is>
      </c>
      <c r="E37" s="6" t="n">
        <v>3.680000007152557</v>
      </c>
      <c r="F37" s="10" t="inlineStr">
        <is>
          <t>MENORES VALORES</t>
        </is>
      </c>
      <c r="G37" s="10" t="inlineStr">
        <is>
          <t>384</t>
        </is>
      </c>
      <c r="H37" s="6" t="n">
        <v>3.680000007152557</v>
      </c>
      <c r="I37" s="11" t="inlineStr">
        <is>
          <t>MENORES VALORES</t>
        </is>
      </c>
    </row>
    <row r="38">
      <c r="C38" s="10" t="inlineStr">
        <is>
          <t>Factura</t>
        </is>
      </c>
      <c r="D38" s="10" t="inlineStr">
        <is>
          <t>PMP1276990</t>
        </is>
      </c>
      <c r="E38" s="6" t="n">
        <v>91703429</v>
      </c>
      <c r="F38" s="10" t="inlineStr"/>
      <c r="G38" s="10" t="inlineStr"/>
      <c r="H38" s="6" t="n">
        <v>91703429</v>
      </c>
      <c r="I38" s="11" t="inlineStr"/>
    </row>
    <row r="39">
      <c r="C39" s="10" t="inlineStr">
        <is>
          <t>Factura</t>
        </is>
      </c>
      <c r="D39" s="10" t="inlineStr">
        <is>
          <t>PMP1276991</t>
        </is>
      </c>
      <c r="E39" s="6" t="n">
        <v>21513304</v>
      </c>
      <c r="F39" s="10" t="inlineStr"/>
      <c r="G39" s="10" t="inlineStr"/>
      <c r="H39" s="6" t="n">
        <v>21513304</v>
      </c>
      <c r="I39" s="11" t="inlineStr"/>
    </row>
    <row r="40">
      <c r="C40" s="10" t="inlineStr">
        <is>
          <t>Factura</t>
        </is>
      </c>
      <c r="D40" s="10" t="inlineStr">
        <is>
          <t>PMP1276992</t>
        </is>
      </c>
      <c r="E40" s="6" t="n">
        <v>19850219</v>
      </c>
      <c r="F40" s="10" t="inlineStr"/>
      <c r="G40" s="10" t="inlineStr"/>
      <c r="H40" s="6" t="n">
        <v>19850219</v>
      </c>
      <c r="I40" s="11" t="inlineStr"/>
    </row>
    <row r="41">
      <c r="C41" s="10" t="inlineStr">
        <is>
          <t>Descuentos no asociados a FC</t>
        </is>
      </c>
      <c r="D41" s="10" t="inlineStr">
        <is>
          <t>PMP1276992</t>
        </is>
      </c>
      <c r="E41" s="6" t="n">
        <v>1.120000001043081</v>
      </c>
      <c r="F41" s="10" t="inlineStr">
        <is>
          <t>MENORES VALORES</t>
        </is>
      </c>
      <c r="G41" s="10" t="inlineStr">
        <is>
          <t>384</t>
        </is>
      </c>
      <c r="H41" s="6" t="n">
        <v>1.120000001043081</v>
      </c>
      <c r="I41" s="11" t="inlineStr">
        <is>
          <t>MENORES VALORES</t>
        </is>
      </c>
    </row>
    <row r="42">
      <c r="C42" s="10" t="inlineStr">
        <is>
          <t>Factura</t>
        </is>
      </c>
      <c r="D42" s="10" t="inlineStr">
        <is>
          <t>PMP1276993</t>
        </is>
      </c>
      <c r="E42" s="6" t="n">
        <v>24310076</v>
      </c>
      <c r="F42" s="10" t="inlineStr"/>
      <c r="G42" s="10" t="inlineStr"/>
      <c r="H42" s="6" t="n">
        <v>24310076</v>
      </c>
      <c r="I42" s="11" t="inlineStr"/>
    </row>
    <row r="43">
      <c r="C43" s="10" t="inlineStr">
        <is>
          <t>Descuentos no asociados a FC</t>
        </is>
      </c>
      <c r="D43" s="10" t="inlineStr">
        <is>
          <t>PMP1276993</t>
        </is>
      </c>
      <c r="E43" s="6" t="n">
        <v>0.1200000010430813</v>
      </c>
      <c r="F43" s="10" t="inlineStr">
        <is>
          <t>MENORES VALORES</t>
        </is>
      </c>
      <c r="G43" s="10" t="inlineStr">
        <is>
          <t>384</t>
        </is>
      </c>
      <c r="H43" s="6" t="n">
        <v>0.1200000010430813</v>
      </c>
      <c r="I43" s="11" t="inlineStr">
        <is>
          <t>MENORES VALORES</t>
        </is>
      </c>
    </row>
    <row r="44">
      <c r="C44" s="10" t="inlineStr">
        <is>
          <t>Factura</t>
        </is>
      </c>
      <c r="D44" s="10" t="inlineStr">
        <is>
          <t>PMP1277137</t>
        </is>
      </c>
      <c r="E44" s="6" t="n">
        <v>111539485</v>
      </c>
      <c r="F44" s="10" t="inlineStr"/>
      <c r="G44" s="10" t="inlineStr"/>
      <c r="H44" s="6" t="n">
        <v>111539485</v>
      </c>
      <c r="I44" s="11" t="inlineStr"/>
    </row>
    <row r="45">
      <c r="C45" s="10" t="inlineStr">
        <is>
          <t>Descuentos no asociados a FC</t>
        </is>
      </c>
      <c r="D45" s="10" t="inlineStr">
        <is>
          <t>PMP1277137</t>
        </is>
      </c>
      <c r="E45" s="6" t="n">
        <v>0.1200000047683716</v>
      </c>
      <c r="F45" s="10" t="inlineStr">
        <is>
          <t>MENORES VALORES</t>
        </is>
      </c>
      <c r="G45" s="10" t="inlineStr">
        <is>
          <t>384</t>
        </is>
      </c>
      <c r="H45" s="6" t="n">
        <v>0.1200000047683716</v>
      </c>
      <c r="I45" s="11" t="inlineStr">
        <is>
          <t>MENORES VALORES</t>
        </is>
      </c>
    </row>
    <row r="46">
      <c r="C46" s="10" t="inlineStr">
        <is>
          <t>Factura</t>
        </is>
      </c>
      <c r="D46" s="10" t="inlineStr">
        <is>
          <t>PMP1277138</t>
        </is>
      </c>
      <c r="E46" s="6" t="n">
        <v>25908600</v>
      </c>
      <c r="F46" s="10" t="inlineStr"/>
      <c r="G46" s="10" t="inlineStr"/>
      <c r="H46" s="6" t="n">
        <v>25908600</v>
      </c>
      <c r="I46" s="11" t="inlineStr"/>
    </row>
    <row r="47">
      <c r="C47" s="10" t="inlineStr">
        <is>
          <t>Factura</t>
        </is>
      </c>
      <c r="D47" s="10" t="inlineStr">
        <is>
          <t>PMP1277139</t>
        </is>
      </c>
      <c r="E47" s="6" t="n">
        <v>20008459</v>
      </c>
      <c r="F47" s="10" t="inlineStr"/>
      <c r="G47" s="10" t="inlineStr"/>
      <c r="H47" s="6" t="n">
        <v>20008459</v>
      </c>
      <c r="I47" s="11" t="inlineStr"/>
    </row>
    <row r="48">
      <c r="C48" s="10" t="inlineStr">
        <is>
          <t>Descuentos no asociados a FC</t>
        </is>
      </c>
      <c r="D48" s="10" t="inlineStr">
        <is>
          <t>PMP1277139</t>
        </is>
      </c>
      <c r="E48" s="6" t="n">
        <v>0.6799999997019768</v>
      </c>
      <c r="F48" s="10" t="inlineStr">
        <is>
          <t>MENORES VALORES</t>
        </is>
      </c>
      <c r="G48" s="10" t="inlineStr">
        <is>
          <t>384</t>
        </is>
      </c>
      <c r="H48" s="6" t="n">
        <v>0.6799999997019768</v>
      </c>
      <c r="I48" s="11" t="inlineStr">
        <is>
          <t>MENORES VALORES</t>
        </is>
      </c>
    </row>
    <row r="49">
      <c r="C49" s="10" t="inlineStr">
        <is>
          <t>Factura</t>
        </is>
      </c>
      <c r="D49" s="10" t="inlineStr">
        <is>
          <t>PMP1277142</t>
        </is>
      </c>
      <c r="E49" s="6" t="n">
        <v>334587580</v>
      </c>
      <c r="F49" s="10" t="inlineStr"/>
      <c r="G49" s="10" t="inlineStr"/>
      <c r="H49" s="6" t="n">
        <v>334587580</v>
      </c>
      <c r="I49" s="11" t="inlineStr"/>
    </row>
    <row r="50">
      <c r="C50" s="10" t="inlineStr">
        <is>
          <t>Descuentos no asociados a FC</t>
        </is>
      </c>
      <c r="D50" s="10" t="inlineStr">
        <is>
          <t>PMP1277142</t>
        </is>
      </c>
      <c r="E50" s="6" t="n">
        <v>1.100000023841858</v>
      </c>
      <c r="F50" s="10" t="inlineStr">
        <is>
          <t>MENORES VALORES</t>
        </is>
      </c>
      <c r="G50" s="10" t="inlineStr">
        <is>
          <t>384</t>
        </is>
      </c>
      <c r="H50" s="6" t="n">
        <v>1.100000023841858</v>
      </c>
      <c r="I50" s="11" t="inlineStr">
        <is>
          <t>MENORES VALORES</t>
        </is>
      </c>
    </row>
    <row r="51">
      <c r="C51" s="10" t="inlineStr">
        <is>
          <t>Factura</t>
        </is>
      </c>
      <c r="D51" s="10" t="inlineStr">
        <is>
          <t>PMP1277143</t>
        </is>
      </c>
      <c r="E51" s="6" t="n">
        <v>357532623</v>
      </c>
      <c r="F51" s="10" t="inlineStr"/>
      <c r="G51" s="10" t="inlineStr"/>
      <c r="H51" s="6" t="n">
        <v>357532623</v>
      </c>
      <c r="I51" s="11" t="inlineStr"/>
    </row>
    <row r="52">
      <c r="C52" s="10" t="inlineStr">
        <is>
          <t>Factura</t>
        </is>
      </c>
      <c r="D52" s="10" t="inlineStr">
        <is>
          <t>PMP1277144</t>
        </is>
      </c>
      <c r="E52" s="6" t="n">
        <v>19509586</v>
      </c>
      <c r="F52" s="10" t="inlineStr"/>
      <c r="G52" s="10" t="inlineStr"/>
      <c r="H52" s="6" t="n">
        <v>19509586</v>
      </c>
      <c r="I52" s="11" t="inlineStr"/>
    </row>
    <row r="53">
      <c r="C53" s="10" t="inlineStr">
        <is>
          <t>Descuentos no asociados a FC</t>
        </is>
      </c>
      <c r="D53" s="10" t="inlineStr">
        <is>
          <t>PMP1277144</t>
        </is>
      </c>
      <c r="E53" s="6" t="n">
        <v>371.5</v>
      </c>
      <c r="F53" s="10" t="inlineStr">
        <is>
          <t>MENORES VALORES</t>
        </is>
      </c>
      <c r="G53" s="10" t="inlineStr">
        <is>
          <t>384</t>
        </is>
      </c>
      <c r="H53" s="6" t="n">
        <v>371.5</v>
      </c>
      <c r="I53" s="11" t="inlineStr">
        <is>
          <t>MENORES VALORES</t>
        </is>
      </c>
    </row>
    <row r="54">
      <c r="C54" s="10" t="inlineStr">
        <is>
          <t>Factura</t>
        </is>
      </c>
      <c r="D54" s="10" t="inlineStr">
        <is>
          <t>PMP1277145</t>
        </is>
      </c>
      <c r="E54" s="6" t="n">
        <v>11842275</v>
      </c>
      <c r="F54" s="10" t="inlineStr"/>
      <c r="G54" s="10" t="inlineStr"/>
      <c r="H54" s="6" t="n">
        <v>11842275</v>
      </c>
      <c r="I54" s="11" t="inlineStr"/>
    </row>
    <row r="55">
      <c r="C55" s="10" t="inlineStr">
        <is>
          <t>Descuentos no asociados a FC</t>
        </is>
      </c>
      <c r="D55" s="10" t="inlineStr">
        <is>
          <t>PMP1277145</t>
        </is>
      </c>
      <c r="E55" s="6" t="n">
        <v>46.24000000022352</v>
      </c>
      <c r="F55" s="10" t="inlineStr">
        <is>
          <t>MENORES VALORES</t>
        </is>
      </c>
      <c r="G55" s="10" t="inlineStr">
        <is>
          <t>384</t>
        </is>
      </c>
      <c r="H55" s="6" t="n">
        <v>46.24000000022352</v>
      </c>
      <c r="I55" s="11" t="inlineStr">
        <is>
          <t>MENORES VALORES</t>
        </is>
      </c>
    </row>
    <row r="56">
      <c r="C56" s="10" t="inlineStr">
        <is>
          <t>Nota de Crédito</t>
        </is>
      </c>
      <c r="D56" s="10" t="inlineStr">
        <is>
          <t>1200012947</t>
        </is>
      </c>
      <c r="E56" s="6" t="n">
        <v>-143145262</v>
      </c>
      <c r="F56" s="10" t="inlineStr">
        <is>
          <t>NRO</t>
        </is>
      </c>
      <c r="G56" s="10" t="inlineStr"/>
      <c r="H56" s="6" t="n">
        <v>-143145262</v>
      </c>
      <c r="I56" s="11" t="inlineStr">
        <is>
          <t>Pendiente de Aplicar sin Soporte</t>
        </is>
      </c>
    </row>
    <row r="57">
      <c r="C57" s="10" t="inlineStr">
        <is>
          <t>Nota de Crédito</t>
        </is>
      </c>
      <c r="D57" s="10" t="inlineStr">
        <is>
          <t>1200013005</t>
        </is>
      </c>
      <c r="E57" s="6" t="n">
        <v>-388554179</v>
      </c>
      <c r="F57" s="10" t="inlineStr">
        <is>
          <t>NRO</t>
        </is>
      </c>
      <c r="G57" s="10" t="inlineStr"/>
      <c r="H57" s="6" t="n">
        <v>-388554179</v>
      </c>
      <c r="I57" s="11" t="inlineStr">
        <is>
          <t>Pendiente de Aplicar sin Soporte</t>
        </is>
      </c>
    </row>
    <row r="58">
      <c r="C58" s="10" t="inlineStr">
        <is>
          <t>Nota de Crédito</t>
        </is>
      </c>
      <c r="D58" s="10" t="inlineStr">
        <is>
          <t>1200013286</t>
        </is>
      </c>
      <c r="E58" s="6" t="n">
        <v>-795603394</v>
      </c>
      <c r="F58" s="10" t="inlineStr">
        <is>
          <t>NRO</t>
        </is>
      </c>
      <c r="G58" s="10" t="inlineStr"/>
      <c r="H58" s="6" t="n">
        <v>-795603394</v>
      </c>
      <c r="I58" s="11" t="inlineStr">
        <is>
          <t>Pendiente de Aplicar sin Soporte</t>
        </is>
      </c>
    </row>
    <row r="59">
      <c r="C59" s="10" t="inlineStr">
        <is>
          <t>Nota de Crédito</t>
        </is>
      </c>
      <c r="D59" s="10" t="inlineStr">
        <is>
          <t>1200013299</t>
        </is>
      </c>
      <c r="E59" s="6" t="n">
        <v>-193603927</v>
      </c>
      <c r="F59" s="10" t="inlineStr">
        <is>
          <t>NRO</t>
        </is>
      </c>
      <c r="G59" s="10" t="inlineStr"/>
      <c r="H59" s="6" t="n">
        <v>-193603927</v>
      </c>
      <c r="I59" s="11" t="inlineStr">
        <is>
          <t>Pendiente de Aplicar sin Soporte</t>
        </is>
      </c>
    </row>
    <row r="60">
      <c r="C60" s="10" t="inlineStr">
        <is>
          <t>Nota de Crédito</t>
        </is>
      </c>
      <c r="D60" s="10" t="inlineStr">
        <is>
          <t>1200013300</t>
        </is>
      </c>
      <c r="E60" s="6" t="n">
        <v>-27876259</v>
      </c>
      <c r="F60" s="10" t="inlineStr">
        <is>
          <t>NRO</t>
        </is>
      </c>
      <c r="G60" s="10" t="inlineStr"/>
      <c r="H60" s="6" t="n">
        <v>-27876259</v>
      </c>
      <c r="I60" s="11" t="inlineStr">
        <is>
          <t>Pendiente de Aplicar sin Soporte</t>
        </is>
      </c>
    </row>
    <row r="61">
      <c r="C61" s="10" t="inlineStr">
        <is>
          <t>Nota de Crédito</t>
        </is>
      </c>
      <c r="D61" s="10" t="inlineStr">
        <is>
          <t>1200013530</t>
        </is>
      </c>
      <c r="E61" s="6" t="n">
        <v>-504563336</v>
      </c>
      <c r="F61" s="10" t="inlineStr">
        <is>
          <t>NRO</t>
        </is>
      </c>
      <c r="G61" s="10" t="inlineStr"/>
      <c r="H61" s="6" t="n">
        <v>-504563336</v>
      </c>
      <c r="I61" s="11" t="inlineStr">
        <is>
          <t>Pendiente de Aplicar sin Soporte</t>
        </is>
      </c>
    </row>
    <row r="62">
      <c r="C62" s="10" t="inlineStr">
        <is>
          <t>Nota de Crédito</t>
        </is>
      </c>
      <c r="D62" s="10" t="inlineStr">
        <is>
          <t>1200013676</t>
        </is>
      </c>
      <c r="E62" s="6" t="n">
        <v>-12114607</v>
      </c>
      <c r="F62" s="10" t="inlineStr">
        <is>
          <t>NRO</t>
        </is>
      </c>
      <c r="G62" s="10" t="inlineStr"/>
      <c r="H62" s="6" t="n">
        <v>-12114607</v>
      </c>
      <c r="I62" s="11" t="inlineStr">
        <is>
          <t>favor del cliente sin aplicar por falta de soporte</t>
        </is>
      </c>
    </row>
    <row r="63">
      <c r="C63" s="10" t="inlineStr">
        <is>
          <t>Nota de Crédito</t>
        </is>
      </c>
      <c r="D63" s="10" t="inlineStr">
        <is>
          <t>1200013677</t>
        </is>
      </c>
      <c r="E63" s="6" t="n">
        <v>-903316691</v>
      </c>
      <c r="F63" s="10" t="inlineStr">
        <is>
          <t>NRO</t>
        </is>
      </c>
      <c r="G63" s="10" t="inlineStr"/>
      <c r="H63" s="6" t="n">
        <v>-903316691</v>
      </c>
      <c r="I63" s="11" t="inlineStr">
        <is>
          <t>favor del cliente sin aplicar por falta de soporte</t>
        </is>
      </c>
    </row>
    <row r="64">
      <c r="C64" s="10" t="inlineStr">
        <is>
          <t>Devolucion</t>
        </is>
      </c>
      <c r="D64" s="10" t="inlineStr">
        <is>
          <t>5009108214</t>
        </is>
      </c>
      <c r="E64" s="6" t="n">
        <v>-2743</v>
      </c>
      <c r="F64" s="10" t="inlineStr">
        <is>
          <t>AVERIA</t>
        </is>
      </c>
      <c r="G64" s="10" t="inlineStr">
        <is>
          <t>522</t>
        </is>
      </c>
      <c r="H64" s="6" t="n">
        <v>-2743</v>
      </c>
      <c r="I64" s="11" t="inlineStr">
        <is>
          <t>Devolucion 5009108214</t>
        </is>
      </c>
    </row>
    <row r="65">
      <c r="C65" s="10" t="inlineStr">
        <is>
          <t>Devolucion</t>
        </is>
      </c>
      <c r="D65" s="10" t="inlineStr">
        <is>
          <t>5009109080</t>
        </is>
      </c>
      <c r="E65" s="6" t="n">
        <v>-13069</v>
      </c>
      <c r="F65" s="10" t="inlineStr">
        <is>
          <t>AVERIA</t>
        </is>
      </c>
      <c r="G65" s="10" t="inlineStr">
        <is>
          <t>522</t>
        </is>
      </c>
      <c r="H65" s="6" t="n">
        <v>-13069</v>
      </c>
      <c r="I65" s="11" t="inlineStr">
        <is>
          <t>Devolucion 5009109080</t>
        </is>
      </c>
    </row>
    <row r="66">
      <c r="C66" s="10" t="inlineStr">
        <is>
          <t>Devolucion</t>
        </is>
      </c>
      <c r="D66" s="10" t="inlineStr">
        <is>
          <t>5009114474</t>
        </is>
      </c>
      <c r="E66" s="6" t="n">
        <v>-5876</v>
      </c>
      <c r="F66" s="10" t="inlineStr">
        <is>
          <t>AVERIA</t>
        </is>
      </c>
      <c r="G66" s="10" t="inlineStr">
        <is>
          <t>522</t>
        </is>
      </c>
      <c r="H66" s="6" t="n">
        <v>-5876</v>
      </c>
      <c r="I66" s="11" t="inlineStr">
        <is>
          <t>Devolucion 5009114474</t>
        </is>
      </c>
    </row>
    <row r="67">
      <c r="C67" s="10" t="inlineStr">
        <is>
          <t>Nota</t>
        </is>
      </c>
      <c r="D67" s="10" t="inlineStr">
        <is>
          <t>AUT.G.COMERCIAL</t>
        </is>
      </c>
      <c r="E67" s="6" t="n">
        <v>-110942</v>
      </c>
      <c r="F67" s="10" t="inlineStr">
        <is>
          <t>AVERIA</t>
        </is>
      </c>
      <c r="G67" s="10" t="inlineStr">
        <is>
          <t>522</t>
        </is>
      </c>
      <c r="H67" s="6" t="n">
        <v>-110942</v>
      </c>
      <c r="I67" s="11" t="inlineStr">
        <is>
          <t>Dev.&gt;.a.30.dias.en.CEDI.8_Sep_</t>
        </is>
      </c>
    </row>
    <row r="68">
      <c r="C68" s="10" t="inlineStr">
        <is>
          <t>Nota</t>
        </is>
      </c>
      <c r="D68" s="10" t="inlineStr">
        <is>
          <t>AUT.G.COMERCIAL</t>
        </is>
      </c>
      <c r="E68" s="6" t="n">
        <v>-97776</v>
      </c>
      <c r="F68" s="10" t="inlineStr">
        <is>
          <t>AVERIA</t>
        </is>
      </c>
      <c r="G68" s="10" t="inlineStr">
        <is>
          <t>522</t>
        </is>
      </c>
      <c r="H68" s="6" t="n">
        <v>-97776</v>
      </c>
      <c r="I68" s="11" t="inlineStr">
        <is>
          <t>Dev.&gt;.a.30.dias.en.CEDI.8_Sep_</t>
        </is>
      </c>
    </row>
    <row r="69">
      <c r="C69" s="10" t="inlineStr">
        <is>
          <t>Nota</t>
        </is>
      </c>
      <c r="D69" s="10" t="inlineStr">
        <is>
          <t>AUT.G.COMERCIAL</t>
        </is>
      </c>
      <c r="E69" s="6" t="n">
        <v>-1059035</v>
      </c>
      <c r="F69" s="10" t="inlineStr">
        <is>
          <t>AVERIA</t>
        </is>
      </c>
      <c r="G69" s="10" t="inlineStr">
        <is>
          <t>522</t>
        </is>
      </c>
      <c r="H69" s="6" t="n">
        <v>-1059035</v>
      </c>
      <c r="I69" s="11" t="inlineStr">
        <is>
          <t>Dev.&gt;.a.30.dias.en.CEDI.8_Sep_</t>
        </is>
      </c>
    </row>
    <row r="70">
      <c r="C70" s="10" t="inlineStr">
        <is>
          <t>Nota</t>
        </is>
      </c>
      <c r="D70" s="10" t="inlineStr">
        <is>
          <t>AUT.G.COMERCIAL</t>
        </is>
      </c>
      <c r="E70" s="6" t="n">
        <v>-481837</v>
      </c>
      <c r="F70" s="10" t="inlineStr">
        <is>
          <t>AVERIA</t>
        </is>
      </c>
      <c r="G70" s="10" t="inlineStr">
        <is>
          <t>522</t>
        </is>
      </c>
      <c r="H70" s="6" t="n">
        <v>-481837</v>
      </c>
      <c r="I70" s="11" t="inlineStr">
        <is>
          <t>Dev.&gt;.a.30.dias.en.CEDI.8_Sep_</t>
        </is>
      </c>
    </row>
    <row r="71">
      <c r="C71" s="10" t="inlineStr">
        <is>
          <t>Nota</t>
        </is>
      </c>
      <c r="D71" s="10" t="inlineStr">
        <is>
          <t>C. UNILEVER</t>
        </is>
      </c>
      <c r="E71" s="6" t="n">
        <v>-22013501</v>
      </c>
      <c r="F71" s="10" t="inlineStr">
        <is>
          <t>DPP NO PROCEDE</t>
        </is>
      </c>
      <c r="G71" s="10" t="inlineStr">
        <is>
          <t>677</t>
        </is>
      </c>
      <c r="H71" s="6" t="n">
        <v>-22013501</v>
      </c>
      <c r="I71" s="11" t="inlineStr">
        <is>
          <t>DCTO 2.00% GLOBAL PAGO ANTICIPADO UNILEVER</t>
        </is>
      </c>
    </row>
    <row r="72">
      <c r="C72" s="10" t="inlineStr">
        <is>
          <t>Nota</t>
        </is>
      </c>
      <c r="D72" s="10" t="inlineStr">
        <is>
          <t>NOTA DEVOLUCIÓN</t>
        </is>
      </c>
      <c r="E72" s="6" t="n">
        <v>-15664649</v>
      </c>
      <c r="F72" s="10" t="inlineStr">
        <is>
          <t>DESCUENTO</t>
        </is>
      </c>
      <c r="G72" s="10" t="n">
        <v>987</v>
      </c>
      <c r="H72" s="6" t="n">
        <v>-15664649</v>
      </c>
      <c r="I72" s="11" t="inlineStr">
        <is>
          <t>NOTA DEVOLUCIÓN POR DEPURACIÓN INVENTARIO SEP 25</t>
        </is>
      </c>
    </row>
    <row r="73">
      <c r="C73" s="10" t="inlineStr">
        <is>
          <t>Nota</t>
        </is>
      </c>
      <c r="D73" s="10" t="inlineStr">
        <is>
          <t>NOTA DEVOLUCIÓN</t>
        </is>
      </c>
      <c r="E73" s="6" t="n">
        <v>-23148793</v>
      </c>
      <c r="F73" s="10" t="inlineStr">
        <is>
          <t>DESCUENTO</t>
        </is>
      </c>
      <c r="G73" s="10" t="n">
        <v>987</v>
      </c>
      <c r="H73" s="6" t="n">
        <v>-23148793</v>
      </c>
      <c r="I73" s="11" t="inlineStr">
        <is>
          <t>NOTA DEVOLUCIÓN POR DEPURACIÓN INVENTARIO SEP 25</t>
        </is>
      </c>
    </row>
    <row r="74">
      <c r="C74" s="10" t="inlineStr">
        <is>
          <t>Nota</t>
        </is>
      </c>
      <c r="D74" s="10" t="inlineStr">
        <is>
          <t>NOTA DEVOLUCIÓN</t>
        </is>
      </c>
      <c r="E74" s="6" t="n">
        <v>-136694904</v>
      </c>
      <c r="F74" s="10" t="inlineStr">
        <is>
          <t>DESCUENTO</t>
        </is>
      </c>
      <c r="G74" s="10" t="n">
        <v>987</v>
      </c>
      <c r="H74" s="6" t="n">
        <v>-136694904</v>
      </c>
      <c r="I74" s="11" t="inlineStr">
        <is>
          <t>NOTA DEVOLUCIÓN POR DEPURACIÓN INVENTARIO SEP 25</t>
        </is>
      </c>
    </row>
    <row r="75">
      <c r="C75" s="10" t="inlineStr">
        <is>
          <t>Nota</t>
        </is>
      </c>
      <c r="D75" s="10" t="inlineStr">
        <is>
          <t>NOTA DEVOLUCIÓN</t>
        </is>
      </c>
      <c r="E75" s="6" t="n">
        <v>-58852874</v>
      </c>
      <c r="F75" s="10" t="inlineStr">
        <is>
          <t>DESCUENTO</t>
        </is>
      </c>
      <c r="G75" s="10" t="n">
        <v>987</v>
      </c>
      <c r="H75" s="6" t="n">
        <v>-58852874</v>
      </c>
      <c r="I75" s="11" t="inlineStr">
        <is>
          <t>NOTA DEVOLUCIÓN POR DEPURACIÓN INVENTARIO SEP 25</t>
        </is>
      </c>
    </row>
    <row r="76">
      <c r="C76" s="10" t="inlineStr">
        <is>
          <t>Nota</t>
        </is>
      </c>
      <c r="D76" s="10" t="inlineStr">
        <is>
          <t>NOTA DEVOLUCIÓN</t>
        </is>
      </c>
      <c r="E76" s="6" t="n">
        <v>-25771569</v>
      </c>
      <c r="F76" s="10" t="inlineStr">
        <is>
          <t>DESCUENTO</t>
        </is>
      </c>
      <c r="G76" s="10" t="n">
        <v>987</v>
      </c>
      <c r="H76" s="6" t="n">
        <v>-25771569</v>
      </c>
      <c r="I76" s="11" t="inlineStr">
        <is>
          <t>NOTA DEVOLUCIÓN POR DEPURACIÓN INVENTARIO SEP 25</t>
        </is>
      </c>
    </row>
    <row r="77">
      <c r="C77" s="10" t="inlineStr">
        <is>
          <t>Nota</t>
        </is>
      </c>
      <c r="D77" s="10" t="inlineStr">
        <is>
          <t>NOTA DEVOLUCIÓN</t>
        </is>
      </c>
      <c r="E77" s="6" t="n">
        <v>-28813</v>
      </c>
      <c r="F77" s="10" t="inlineStr">
        <is>
          <t>DESCUENTO</t>
        </is>
      </c>
      <c r="G77" s="10" t="n">
        <v>987</v>
      </c>
      <c r="H77" s="6" t="n">
        <v>-28813</v>
      </c>
      <c r="I77" s="11" t="inlineStr">
        <is>
          <t>NOTA DEVOLUCIÓN POR DEPURACIÓN INVENTARIO SEP 25</t>
        </is>
      </c>
    </row>
    <row r="78">
      <c r="C78" s="10" t="inlineStr">
        <is>
          <t>Nota</t>
        </is>
      </c>
      <c r="D78" s="10" t="inlineStr">
        <is>
          <t>NOTA DEVOLUCIÓN</t>
        </is>
      </c>
      <c r="E78" s="6" t="n">
        <v>-3659996</v>
      </c>
      <c r="F78" s="10" t="inlineStr">
        <is>
          <t>DESCUENTO</t>
        </is>
      </c>
      <c r="G78" s="10" t="n">
        <v>987</v>
      </c>
      <c r="H78" s="6" t="n">
        <v>-3659996</v>
      </c>
      <c r="I78" s="11" t="inlineStr">
        <is>
          <t>NOTA DEVOLUCIÓN POR DEPURACIÓN INVENTARIO SEP 25</t>
        </is>
      </c>
    </row>
    <row r="79">
      <c r="C79" s="10" t="inlineStr">
        <is>
          <t>Nota</t>
        </is>
      </c>
      <c r="D79" s="10" t="inlineStr">
        <is>
          <t>NOTA DEVOLUCIÓN</t>
        </is>
      </c>
      <c r="E79" s="6" t="n">
        <v>-1074320</v>
      </c>
      <c r="F79" s="10" t="inlineStr">
        <is>
          <t>DESCUENTO</t>
        </is>
      </c>
      <c r="G79" s="10" t="n">
        <v>987</v>
      </c>
      <c r="H79" s="6" t="n">
        <v>-1074320</v>
      </c>
      <c r="I79" s="11" t="inlineStr">
        <is>
          <t>NOTA DEVOLUCIÓN POR DEPURACIÓN INVENTARIO SEP 25</t>
        </is>
      </c>
    </row>
    <row r="80">
      <c r="C80" s="10" t="inlineStr">
        <is>
          <t>Nota</t>
        </is>
      </c>
      <c r="D80" s="10" t="inlineStr">
        <is>
          <t>NOTA DEVOLUCIÓN</t>
        </is>
      </c>
      <c r="E80" s="6" t="n">
        <v>-8010033</v>
      </c>
      <c r="F80" s="10" t="inlineStr">
        <is>
          <t>DESCUENTO</t>
        </is>
      </c>
      <c r="G80" s="10" t="n">
        <v>987</v>
      </c>
      <c r="H80" s="6" t="n">
        <v>-8010033</v>
      </c>
      <c r="I80" s="11" t="inlineStr">
        <is>
          <t>NOTA DEVOLUCIÓN POR DEPURACIÓN INVENTARIO SEP 25</t>
        </is>
      </c>
    </row>
    <row r="81">
      <c r="C81" s="10" t="inlineStr">
        <is>
          <t>Nota</t>
        </is>
      </c>
      <c r="D81" s="10" t="inlineStr">
        <is>
          <t>NOTA DEVOLUCIÓN</t>
        </is>
      </c>
      <c r="E81" s="6" t="n">
        <v>-209929</v>
      </c>
      <c r="F81" s="10" t="inlineStr">
        <is>
          <t>DESCUENTO</t>
        </is>
      </c>
      <c r="G81" s="10" t="n">
        <v>987</v>
      </c>
      <c r="H81" s="6" t="n">
        <v>-209929</v>
      </c>
      <c r="I81" s="11" t="inlineStr">
        <is>
          <t>NOTA DEVOLUCIÓN POR DEPURACIÓN INVENTARIO SEP 25</t>
        </is>
      </c>
    </row>
    <row r="82">
      <c r="C82" s="10" t="inlineStr">
        <is>
          <t>Nota</t>
        </is>
      </c>
      <c r="D82" s="10" t="inlineStr">
        <is>
          <t>NOTA DEVOLUCIÓN</t>
        </is>
      </c>
      <c r="E82" s="6" t="n">
        <v>-52023765</v>
      </c>
      <c r="F82" s="10" t="inlineStr">
        <is>
          <t>DESCUENTO</t>
        </is>
      </c>
      <c r="G82" s="10" t="n">
        <v>987</v>
      </c>
      <c r="H82" s="6" t="n">
        <v>-52023765</v>
      </c>
      <c r="I82" s="11" t="inlineStr">
        <is>
          <t>NOTA DEVOLUCIÓN POR DEPURACIÓN INVENTARIO SEP 25</t>
        </is>
      </c>
    </row>
    <row r="83">
      <c r="C83" s="10" t="inlineStr">
        <is>
          <t>Nota</t>
        </is>
      </c>
      <c r="D83" s="10" t="inlineStr">
        <is>
          <t>NOTA DEVOLUCIÓN</t>
        </is>
      </c>
      <c r="E83" s="6" t="n">
        <v>-9458910</v>
      </c>
      <c r="F83" s="10" t="inlineStr">
        <is>
          <t>DESCUENTO</t>
        </is>
      </c>
      <c r="G83" s="10" t="n">
        <v>987</v>
      </c>
      <c r="H83" s="6" t="n">
        <v>-9458910</v>
      </c>
      <c r="I83" s="11" t="inlineStr">
        <is>
          <t>NOTA DEVOLUCIÓN POR DEPURACIÓN INVENTARIO SEP 25</t>
        </is>
      </c>
    </row>
    <row r="84">
      <c r="C84" s="10" t="inlineStr">
        <is>
          <t>Nota</t>
        </is>
      </c>
      <c r="D84" s="10" t="inlineStr">
        <is>
          <t>NOTA DEVOLUCIÓN</t>
        </is>
      </c>
      <c r="E84" s="6" t="n">
        <v>-5923198</v>
      </c>
      <c r="F84" s="10" t="inlineStr">
        <is>
          <t>DESCUENTO</t>
        </is>
      </c>
      <c r="G84" s="10" t="n">
        <v>987</v>
      </c>
      <c r="H84" s="6" t="n">
        <v>-5923198</v>
      </c>
      <c r="I84" s="11" t="inlineStr">
        <is>
          <t>NOTA DEVOLUCIÓN POR DEPURACIÓN INVENTARIO SEP 25</t>
        </is>
      </c>
    </row>
    <row r="85">
      <c r="C85" s="10" t="inlineStr">
        <is>
          <t>Nota</t>
        </is>
      </c>
      <c r="D85" s="10" t="inlineStr">
        <is>
          <t>NOTA DEVOLUCIÓN</t>
        </is>
      </c>
      <c r="E85" s="6" t="n">
        <v>-6652327</v>
      </c>
      <c r="F85" s="10" t="inlineStr">
        <is>
          <t>DESCUENTO</t>
        </is>
      </c>
      <c r="G85" s="10" t="n">
        <v>987</v>
      </c>
      <c r="H85" s="6" t="n">
        <v>-6652327</v>
      </c>
      <c r="I85" s="11" t="inlineStr">
        <is>
          <t>NOTA DEVOLUCIÓN POR DEPURACIÓN INVENTARIO SEP 25</t>
        </is>
      </c>
    </row>
    <row r="86">
      <c r="C86" s="10" t="inlineStr">
        <is>
          <t>Nota</t>
        </is>
      </c>
      <c r="D86" s="10" t="inlineStr">
        <is>
          <t>NOTA DEVOLUCIÓN</t>
        </is>
      </c>
      <c r="E86" s="6" t="n">
        <v>-14421092</v>
      </c>
      <c r="F86" s="10" t="inlineStr">
        <is>
          <t>DESCUENTO</t>
        </is>
      </c>
      <c r="G86" s="10" t="n">
        <v>987</v>
      </c>
      <c r="H86" s="6" t="n">
        <v>-14421092</v>
      </c>
      <c r="I86" s="11" t="inlineStr">
        <is>
          <t>NOTA DEVOLUCIÓN POR DEPURACIÓN INVENTARIO SEP 25</t>
        </is>
      </c>
    </row>
    <row r="87">
      <c r="C87" s="10" t="inlineStr">
        <is>
          <t>Nota</t>
        </is>
      </c>
      <c r="D87" s="10" t="inlineStr">
        <is>
          <t>NOTA DEVOLUCIÓN</t>
        </is>
      </c>
      <c r="E87" s="6" t="n">
        <v>-6022678</v>
      </c>
      <c r="F87" s="10" t="inlineStr">
        <is>
          <t>DESCUENTO</t>
        </is>
      </c>
      <c r="G87" s="10" t="n">
        <v>987</v>
      </c>
      <c r="H87" s="6" t="n">
        <v>-6022678</v>
      </c>
      <c r="I87" s="11" t="inlineStr">
        <is>
          <t>NOTA DEVOLUCIÓN POR DEPURACIÓN INVENTARIO SEP 25</t>
        </is>
      </c>
    </row>
    <row r="88">
      <c r="C88" s="10" t="inlineStr">
        <is>
          <t>Nota</t>
        </is>
      </c>
      <c r="D88" s="10" t="inlineStr">
        <is>
          <t>NOTA DEVOLUCIÓN</t>
        </is>
      </c>
      <c r="E88" s="6" t="n">
        <v>-7052198</v>
      </c>
      <c r="F88" s="10" t="inlineStr">
        <is>
          <t>DESCUENTO</t>
        </is>
      </c>
      <c r="G88" s="10" t="n">
        <v>987</v>
      </c>
      <c r="H88" s="6" t="n">
        <v>-7052198</v>
      </c>
      <c r="I88" s="11" t="inlineStr">
        <is>
          <t>NOTA DEVOLUCIÓN POR DEPURACIÓN INVENTARIO SEP 25</t>
        </is>
      </c>
    </row>
    <row r="89">
      <c r="C89" s="10" t="inlineStr">
        <is>
          <t>Nota</t>
        </is>
      </c>
      <c r="D89" s="10" t="inlineStr">
        <is>
          <t>NOTA DEVOLUCIÓN</t>
        </is>
      </c>
      <c r="E89" s="6" t="n">
        <v>-22568987</v>
      </c>
      <c r="F89" s="10" t="inlineStr">
        <is>
          <t>DESCUENTO</t>
        </is>
      </c>
      <c r="G89" s="10" t="n">
        <v>987</v>
      </c>
      <c r="H89" s="6" t="n">
        <v>-22568987</v>
      </c>
      <c r="I89" s="11" t="inlineStr">
        <is>
          <t>NOTA DEVOLUCIÓN POR DEPURACIÓN INVENTARIO SEP 25</t>
        </is>
      </c>
    </row>
    <row r="90">
      <c r="C90" s="10" t="inlineStr">
        <is>
          <t>Nota</t>
        </is>
      </c>
      <c r="D90" s="10" t="inlineStr">
        <is>
          <t>NOTA DEVOLUCIÓN</t>
        </is>
      </c>
      <c r="E90" s="6" t="n">
        <v>-8073343</v>
      </c>
      <c r="F90" s="10" t="inlineStr">
        <is>
          <t>DESCUENTO</t>
        </is>
      </c>
      <c r="G90" s="10" t="n">
        <v>987</v>
      </c>
      <c r="H90" s="6" t="n">
        <v>-8073343</v>
      </c>
      <c r="I90" s="11" t="inlineStr">
        <is>
          <t>NOTA DEVOLUCIÓN POR DEPURACIÓN INVENTARIO SEP 25</t>
        </is>
      </c>
    </row>
    <row r="91">
      <c r="C91" s="10" t="inlineStr">
        <is>
          <t>Nota</t>
        </is>
      </c>
      <c r="D91" s="10" t="inlineStr">
        <is>
          <t>NOTA DEVOLUCIÓN</t>
        </is>
      </c>
      <c r="E91" s="6" t="n">
        <v>-3057002</v>
      </c>
      <c r="F91" s="10" t="inlineStr">
        <is>
          <t>DESCUENTO</t>
        </is>
      </c>
      <c r="G91" s="10" t="n">
        <v>987</v>
      </c>
      <c r="H91" s="6" t="n">
        <v>-3057002</v>
      </c>
      <c r="I91" s="11" t="inlineStr">
        <is>
          <t>NOTA DEVOLUCIÓN POR DEPURACIÓN INVENTARIO SEP 25</t>
        </is>
      </c>
    </row>
    <row r="92">
      <c r="C92" s="10" t="inlineStr">
        <is>
          <t>Reduc Factura Compra</t>
        </is>
      </c>
      <c r="D92" s="10" t="inlineStr">
        <is>
          <t>PMP1273112</t>
        </is>
      </c>
      <c r="E92" s="6" t="n">
        <v>-98733</v>
      </c>
      <c r="F92" s="10" t="inlineStr">
        <is>
          <t>DESCUENTO</t>
        </is>
      </c>
      <c r="G92" s="10" t="inlineStr">
        <is>
          <t>987</t>
        </is>
      </c>
      <c r="H92" s="6" t="n">
        <v>-98733</v>
      </c>
      <c r="I92" s="11" t="inlineStr">
        <is>
          <t>Reduc Factura Compra PMP1273112</t>
        </is>
      </c>
    </row>
    <row r="93">
      <c r="C93" s="10" t="inlineStr">
        <is>
          <t>Descuentos no asociados a FC</t>
        </is>
      </c>
      <c r="D93" s="10" t="inlineStr">
        <is>
          <t>PMP1273112</t>
        </is>
      </c>
      <c r="E93" s="6" t="n">
        <v>-2.120000001043081</v>
      </c>
      <c r="F93" s="10" t="inlineStr">
        <is>
          <t>MENORES VALORES</t>
        </is>
      </c>
      <c r="G93" s="10" t="inlineStr">
        <is>
          <t>WOB</t>
        </is>
      </c>
      <c r="H93" s="6" t="n">
        <v>-2.120000001043081</v>
      </c>
      <c r="I93" s="11" t="inlineStr">
        <is>
          <t>MENORES VALORES</t>
        </is>
      </c>
    </row>
    <row r="94">
      <c r="C94" s="10" t="inlineStr">
        <is>
          <t>Descuentos no asociados a FC</t>
        </is>
      </c>
      <c r="D94" s="10" t="inlineStr">
        <is>
          <t>PMP1273596</t>
        </is>
      </c>
      <c r="E94" s="6" t="n">
        <v>-0.8000000007450581</v>
      </c>
      <c r="F94" s="10" t="inlineStr">
        <is>
          <t>MENORES VALORES</t>
        </is>
      </c>
      <c r="G94" s="10" t="inlineStr">
        <is>
          <t>WOB</t>
        </is>
      </c>
      <c r="H94" s="6" t="n">
        <v>-0.8000000007450581</v>
      </c>
      <c r="I94" s="11" t="inlineStr">
        <is>
          <t>MENORES VALORES</t>
        </is>
      </c>
    </row>
    <row r="95">
      <c r="C95" s="10" t="inlineStr">
        <is>
          <t>Descuentos no asociados a FC</t>
        </is>
      </c>
      <c r="D95" s="10" t="inlineStr">
        <is>
          <t>PMP1273863</t>
        </is>
      </c>
      <c r="E95" s="6" t="n">
        <v>-1.96000000089407</v>
      </c>
      <c r="F95" s="10" t="inlineStr">
        <is>
          <t>MENORES VALORES</t>
        </is>
      </c>
      <c r="G95" s="10" t="inlineStr">
        <is>
          <t>WOB</t>
        </is>
      </c>
      <c r="H95" s="6" t="n">
        <v>-1.96000000089407</v>
      </c>
      <c r="I95" s="11" t="inlineStr">
        <is>
          <t>MENORES VALORES</t>
        </is>
      </c>
    </row>
    <row r="96">
      <c r="C96" s="10" t="inlineStr">
        <is>
          <t>Reduc Factura Compra</t>
        </is>
      </c>
      <c r="D96" s="10" t="inlineStr">
        <is>
          <t>PMP1273878</t>
        </is>
      </c>
      <c r="E96" s="6" t="n">
        <v>-1267188</v>
      </c>
      <c r="F96" s="10" t="inlineStr">
        <is>
          <t>DESCUENTO</t>
        </is>
      </c>
      <c r="G96" s="10" t="inlineStr">
        <is>
          <t>987</t>
        </is>
      </c>
      <c r="H96" s="6" t="n">
        <v>-1267188</v>
      </c>
      <c r="I96" s="11" t="inlineStr">
        <is>
          <t>Reduc Factura Compra PMP1273878</t>
        </is>
      </c>
    </row>
    <row r="97">
      <c r="C97" s="10" t="inlineStr">
        <is>
          <t>Reduc Factura Compra</t>
        </is>
      </c>
      <c r="D97" s="10" t="inlineStr">
        <is>
          <t>PMP1276666</t>
        </is>
      </c>
      <c r="E97" s="6" t="n">
        <v>-116211</v>
      </c>
      <c r="F97" s="10" t="inlineStr">
        <is>
          <t>DESCUENTO</t>
        </is>
      </c>
      <c r="G97" s="10" t="inlineStr">
        <is>
          <t>987</t>
        </is>
      </c>
      <c r="H97" s="6" t="n">
        <v>-116211</v>
      </c>
      <c r="I97" s="11" t="inlineStr">
        <is>
          <t>Reduc Factura Compra PMP1276666</t>
        </is>
      </c>
    </row>
    <row r="98">
      <c r="C98" s="10" t="inlineStr">
        <is>
          <t>Descuentos no asociados a FC</t>
        </is>
      </c>
      <c r="D98" s="10" t="inlineStr">
        <is>
          <t>PMP1276666</t>
        </is>
      </c>
      <c r="E98" s="6" t="n">
        <v>-0.7800000011920929</v>
      </c>
      <c r="F98" s="10" t="inlineStr">
        <is>
          <t>MENORES VALORES</t>
        </is>
      </c>
      <c r="G98" s="10" t="inlineStr">
        <is>
          <t>WOB</t>
        </is>
      </c>
      <c r="H98" s="6" t="n">
        <v>-0.7800000011920929</v>
      </c>
      <c r="I98" s="11" t="inlineStr">
        <is>
          <t>MENORES VALORES</t>
        </is>
      </c>
    </row>
    <row r="99">
      <c r="C99" s="10" t="inlineStr">
        <is>
          <t>Reduc Factura Compra</t>
        </is>
      </c>
      <c r="D99" s="10" t="inlineStr">
        <is>
          <t>PMP1276668</t>
        </is>
      </c>
      <c r="E99" s="6" t="n">
        <v>-338713</v>
      </c>
      <c r="F99" s="10" t="inlineStr">
        <is>
          <t>DESCUENTO</t>
        </is>
      </c>
      <c r="G99" s="10" t="inlineStr">
        <is>
          <t>987</t>
        </is>
      </c>
      <c r="H99" s="6" t="n">
        <v>-338713</v>
      </c>
      <c r="I99" s="11" t="inlineStr">
        <is>
          <t>Reduc Factura Compra PMP1276668</t>
        </is>
      </c>
    </row>
    <row r="100">
      <c r="C100" s="10" t="inlineStr">
        <is>
          <t>Reduc Factura Compra</t>
        </is>
      </c>
      <c r="D100" s="10" t="inlineStr">
        <is>
          <t>PMP1276670</t>
        </is>
      </c>
      <c r="E100" s="6" t="n">
        <v>-4956</v>
      </c>
      <c r="F100" s="10" t="inlineStr">
        <is>
          <t>DESCUENTO</t>
        </is>
      </c>
      <c r="G100" s="10" t="inlineStr">
        <is>
          <t>987</t>
        </is>
      </c>
      <c r="H100" s="6" t="n">
        <v>-4956</v>
      </c>
      <c r="I100" s="11" t="inlineStr">
        <is>
          <t>Reduc Factura Compra PMP1276670</t>
        </is>
      </c>
    </row>
    <row r="101">
      <c r="C101" s="10" t="inlineStr">
        <is>
          <t>Reduc Factura Compra</t>
        </is>
      </c>
      <c r="D101" s="10" t="inlineStr">
        <is>
          <t>PMP1276671</t>
        </is>
      </c>
      <c r="E101" s="6" t="n">
        <v>-128471</v>
      </c>
      <c r="F101" s="10" t="inlineStr">
        <is>
          <t>DESCUENTO</t>
        </is>
      </c>
      <c r="G101" s="10" t="inlineStr">
        <is>
          <t>987</t>
        </is>
      </c>
      <c r="H101" s="6" t="n">
        <v>-128471</v>
      </c>
      <c r="I101" s="11" t="inlineStr">
        <is>
          <t>Reduc Factura Compra PMP1276671</t>
        </is>
      </c>
    </row>
    <row r="102">
      <c r="C102" s="10" t="inlineStr">
        <is>
          <t>Descuentos no asociados a FC</t>
        </is>
      </c>
      <c r="D102" s="10" t="inlineStr">
        <is>
          <t>PMP1276673</t>
        </is>
      </c>
      <c r="E102" s="6" t="n">
        <v>-0.1200000001117587</v>
      </c>
      <c r="F102" s="10" t="inlineStr">
        <is>
          <t>MENORES VALORES</t>
        </is>
      </c>
      <c r="G102" s="10" t="inlineStr">
        <is>
          <t>WOB</t>
        </is>
      </c>
      <c r="H102" s="6" t="n">
        <v>-0.1200000001117587</v>
      </c>
      <c r="I102" s="11" t="inlineStr">
        <is>
          <t>MENORES VALORES</t>
        </is>
      </c>
    </row>
    <row r="103">
      <c r="C103" s="10" t="inlineStr">
        <is>
          <t>Reduc Factura Compra</t>
        </is>
      </c>
      <c r="D103" s="10" t="inlineStr">
        <is>
          <t>PMP1276988</t>
        </is>
      </c>
      <c r="E103" s="6" t="n">
        <v>-182382</v>
      </c>
      <c r="F103" s="10" t="inlineStr">
        <is>
          <t>DESCUENTO</t>
        </is>
      </c>
      <c r="G103" s="10" t="inlineStr">
        <is>
          <t>987</t>
        </is>
      </c>
      <c r="H103" s="6" t="n">
        <v>-182382</v>
      </c>
      <c r="I103" s="11" t="inlineStr">
        <is>
          <t>Reduc Factura Compra PMP1276988</t>
        </is>
      </c>
    </row>
    <row r="104">
      <c r="C104" s="10" t="inlineStr">
        <is>
          <t>Reduc Factura Compra</t>
        </is>
      </c>
      <c r="D104" s="10" t="inlineStr">
        <is>
          <t>PMP1276990</t>
        </is>
      </c>
      <c r="E104" s="6" t="n">
        <v>-538091</v>
      </c>
      <c r="F104" s="10" t="inlineStr">
        <is>
          <t>DESCUENTO</t>
        </is>
      </c>
      <c r="G104" s="10" t="inlineStr">
        <is>
          <t>987</t>
        </is>
      </c>
      <c r="H104" s="6" t="n">
        <v>-538091</v>
      </c>
      <c r="I104" s="11" t="inlineStr">
        <is>
          <t>Reduc Factura Compra PMP1276990</t>
        </is>
      </c>
    </row>
    <row r="105">
      <c r="C105" s="10" t="inlineStr">
        <is>
          <t>Descuentos no asociados a FC</t>
        </is>
      </c>
      <c r="D105" s="10" t="inlineStr">
        <is>
          <t>PMP1276990</t>
        </is>
      </c>
      <c r="E105" s="6" t="n">
        <v>-3.459999993443489</v>
      </c>
      <c r="F105" s="10" t="inlineStr">
        <is>
          <t>MENORES VALORES</t>
        </is>
      </c>
      <c r="G105" s="10" t="inlineStr">
        <is>
          <t>WOB</t>
        </is>
      </c>
      <c r="H105" s="6" t="n">
        <v>-3.459999993443489</v>
      </c>
      <c r="I105" s="11" t="inlineStr">
        <is>
          <t>MENORES VALORES</t>
        </is>
      </c>
    </row>
    <row r="106">
      <c r="C106" s="10" t="inlineStr">
        <is>
          <t>Reduc Factura Compra</t>
        </is>
      </c>
      <c r="D106" s="10" t="inlineStr">
        <is>
          <t>PMP1276991</t>
        </is>
      </c>
      <c r="E106" s="6" t="n">
        <v>-375295</v>
      </c>
      <c r="F106" s="10" t="inlineStr">
        <is>
          <t>DESCUENTO</t>
        </is>
      </c>
      <c r="G106" s="10" t="inlineStr">
        <is>
          <t>987</t>
        </is>
      </c>
      <c r="H106" s="6" t="n">
        <v>-375295</v>
      </c>
      <c r="I106" s="11" t="inlineStr">
        <is>
          <t>Reduc Factura Compra PMP1276991</t>
        </is>
      </c>
    </row>
    <row r="107">
      <c r="C107" s="10" t="inlineStr">
        <is>
          <t>Descuentos no asociados a FC</t>
        </is>
      </c>
      <c r="D107" s="10" t="inlineStr">
        <is>
          <t>PMP1276991</t>
        </is>
      </c>
      <c r="E107" s="6" t="n">
        <v>-1.019999999552965</v>
      </c>
      <c r="F107" s="10" t="inlineStr">
        <is>
          <t>MENORES VALORES</t>
        </is>
      </c>
      <c r="G107" s="10" t="inlineStr">
        <is>
          <t>WOB</t>
        </is>
      </c>
      <c r="H107" s="6" t="n">
        <v>-1.019999999552965</v>
      </c>
      <c r="I107" s="11" t="inlineStr">
        <is>
          <t>MENORES VALORES</t>
        </is>
      </c>
    </row>
    <row r="108">
      <c r="C108" s="10" t="inlineStr">
        <is>
          <t>Reduc Factura Compra</t>
        </is>
      </c>
      <c r="D108" s="10" t="inlineStr">
        <is>
          <t>PMP1276992</t>
        </is>
      </c>
      <c r="E108" s="6" t="n">
        <v>-4956</v>
      </c>
      <c r="F108" s="10" t="inlineStr">
        <is>
          <t>DESCUENTO</t>
        </is>
      </c>
      <c r="G108" s="10" t="inlineStr">
        <is>
          <t>987</t>
        </is>
      </c>
      <c r="H108" s="6" t="n">
        <v>-4956</v>
      </c>
      <c r="I108" s="11" t="inlineStr">
        <is>
          <t>Reduc Factura Compra PMP1276992</t>
        </is>
      </c>
    </row>
    <row r="109">
      <c r="C109" s="10" t="inlineStr">
        <is>
          <t>Reduc Factura Compra</t>
        </is>
      </c>
      <c r="D109" s="10" t="inlineStr">
        <is>
          <t>PMP1277137</t>
        </is>
      </c>
      <c r="E109" s="6" t="n">
        <v>-973783</v>
      </c>
      <c r="F109" s="10" t="inlineStr">
        <is>
          <t>DESCUENTO</t>
        </is>
      </c>
      <c r="G109" s="10" t="inlineStr">
        <is>
          <t>987</t>
        </is>
      </c>
      <c r="H109" s="6" t="n">
        <v>-973783</v>
      </c>
      <c r="I109" s="11" t="inlineStr">
        <is>
          <t>Reduc Factura Compra PMP1277137</t>
        </is>
      </c>
    </row>
    <row r="110">
      <c r="C110" s="10" t="inlineStr">
        <is>
          <t>Reduc Factura Compra</t>
        </is>
      </c>
      <c r="D110" s="10" t="inlineStr">
        <is>
          <t>PMP1277142</t>
        </is>
      </c>
      <c r="E110" s="6" t="n">
        <v>-1272672</v>
      </c>
      <c r="F110" s="10" t="inlineStr">
        <is>
          <t>DESCUENTO</t>
        </is>
      </c>
      <c r="G110" s="10" t="inlineStr">
        <is>
          <t>987</t>
        </is>
      </c>
      <c r="H110" s="6" t="n">
        <v>-1272672</v>
      </c>
      <c r="I110" s="11" t="inlineStr">
        <is>
          <t>Reduc Factura Compra PMP1277142</t>
        </is>
      </c>
    </row>
    <row r="111">
      <c r="C111" s="10" t="inlineStr">
        <is>
          <t>Reduc Factura Compra</t>
        </is>
      </c>
      <c r="D111" s="10" t="inlineStr">
        <is>
          <t>PMP1277143</t>
        </is>
      </c>
      <c r="E111" s="6" t="n">
        <v>-18833393</v>
      </c>
      <c r="F111" s="10" t="inlineStr">
        <is>
          <t>DESCUENTO</t>
        </is>
      </c>
      <c r="G111" s="10" t="inlineStr">
        <is>
          <t>987</t>
        </is>
      </c>
      <c r="H111" s="6" t="n">
        <v>-18833393</v>
      </c>
      <c r="I111" s="11" t="inlineStr">
        <is>
          <t>Reduc Factura Compra PMP1277143</t>
        </is>
      </c>
    </row>
    <row r="112">
      <c r="C112" s="10" t="inlineStr">
        <is>
          <t>Descuentos no asociados a FC</t>
        </is>
      </c>
      <c r="D112" s="10" t="inlineStr">
        <is>
          <t>PMP1277143</t>
        </is>
      </c>
      <c r="E112" s="6" t="n">
        <v>-2.060000002384186</v>
      </c>
      <c r="F112" s="10" t="inlineStr">
        <is>
          <t>MENORES VALORES</t>
        </is>
      </c>
      <c r="G112" s="10" t="inlineStr">
        <is>
          <t>WOB</t>
        </is>
      </c>
      <c r="H112" s="6" t="n">
        <v>-2.060000002384186</v>
      </c>
      <c r="I112" s="11" t="inlineStr">
        <is>
          <t>MENORES VALORES</t>
        </is>
      </c>
    </row>
    <row r="113">
      <c r="C113" s="10" t="inlineStr">
        <is>
          <t>Nota</t>
        </is>
      </c>
      <c r="D113" s="10" t="inlineStr">
        <is>
          <t>nan</t>
        </is>
      </c>
      <c r="E113" s="6" t="n">
        <v>-82067413</v>
      </c>
      <c r="F113" s="10" t="inlineStr">
        <is>
          <t>DESCUENTO</t>
        </is>
      </c>
      <c r="G113" s="10" t="n">
        <v>987</v>
      </c>
      <c r="H113" s="6" t="n">
        <v>-82067413</v>
      </c>
      <c r="I113" s="11" t="inlineStr">
        <is>
          <t>DDPD UNILEVER MIN 2Q 2025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313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PMP1276670</t>
        </is>
      </c>
      <c r="F3" s="16" t="inlineStr">
        <is>
          <t>12/09/2025</t>
        </is>
      </c>
      <c r="G3" s="16" t="n">
        <v>5100335942</v>
      </c>
      <c r="H3" s="16" t="inlineStr">
        <is>
          <t>Reduc Factura Compra</t>
        </is>
      </c>
      <c r="I3" s="16" t="inlineStr">
        <is>
          <t>20/08/2025</t>
        </is>
      </c>
      <c r="J3" s="16" t="n">
        <v>0</v>
      </c>
      <c r="K3" s="17" t="n">
        <v>4956</v>
      </c>
      <c r="L3" s="16" t="inlineStr">
        <is>
          <t>Cerritos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314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PMP1276670</t>
        </is>
      </c>
      <c r="F4" s="16" t="inlineStr">
        <is>
          <t>12/09/2025</t>
        </is>
      </c>
      <c r="G4" s="16" t="n">
        <v>5100335941</v>
      </c>
      <c r="H4" s="16" t="inlineStr">
        <is>
          <t>Factura Acrededor</t>
        </is>
      </c>
      <c r="I4" s="16" t="inlineStr">
        <is>
          <t>20/08/2025</t>
        </is>
      </c>
      <c r="J4" s="16" t="n">
        <v>0</v>
      </c>
      <c r="K4" s="17" t="n">
        <v>-8387269</v>
      </c>
      <c r="L4" s="16" t="inlineStr">
        <is>
          <t>Cerritos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318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PMP1276992</t>
        </is>
      </c>
      <c r="F5" s="16" t="inlineStr">
        <is>
          <t>12/09/2025</t>
        </is>
      </c>
      <c r="G5" s="16" t="n">
        <v>5100337112</v>
      </c>
      <c r="H5" s="16" t="inlineStr">
        <is>
          <t>Reduc Factura Compra</t>
        </is>
      </c>
      <c r="I5" s="16" t="inlineStr">
        <is>
          <t>21/08/2025</t>
        </is>
      </c>
      <c r="J5" s="16" t="n">
        <v>0</v>
      </c>
      <c r="K5" s="17" t="n">
        <v>4956</v>
      </c>
      <c r="M5" s="16" t="inlineStr">
        <is>
          <t>UNILEVER ANDINA COLOMBIA LTDA/conciliaicon</t>
        </is>
      </c>
      <c r="N5" s="18">
        <f>+H5&amp;" "&amp;E5</f>
        <v/>
      </c>
      <c r="O5" s="18" t="inlineStr">
        <is>
          <t>Ventas</t>
        </is>
      </c>
    </row>
    <row r="6">
      <c r="A6" s="16" t="n">
        <v>319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PMP1277139</t>
        </is>
      </c>
      <c r="F6" s="16" t="inlineStr">
        <is>
          <t>12/09/2025</t>
        </is>
      </c>
      <c r="G6" s="16" t="n">
        <v>5100337864</v>
      </c>
      <c r="H6" s="16" t="inlineStr">
        <is>
          <t>Factura Acrededor</t>
        </is>
      </c>
      <c r="I6" s="16" t="inlineStr">
        <is>
          <t>21/08/2025</t>
        </is>
      </c>
      <c r="J6" s="16" t="n">
        <v>0</v>
      </c>
      <c r="K6" s="17" t="n">
        <v>-20008459</v>
      </c>
      <c r="L6" s="16" t="inlineStr">
        <is>
          <t>Cota</t>
        </is>
      </c>
      <c r="M6" s="16" t="inlineStr">
        <is>
          <t>UNILEVER ANDINA COLOMBIA LTDA</t>
        </is>
      </c>
      <c r="N6" s="18">
        <f>+H6&amp;" "&amp; E6</f>
        <v/>
      </c>
      <c r="O6" s="18" t="inlineStr">
        <is>
          <t>Cartera</t>
        </is>
      </c>
    </row>
    <row r="7">
      <c r="A7" s="16" t="n">
        <v>320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PMP1276992</t>
        </is>
      </c>
      <c r="F7" s="16" t="inlineStr">
        <is>
          <t>12/09/2025</t>
        </is>
      </c>
      <c r="G7" s="16" t="n">
        <v>5100337111</v>
      </c>
      <c r="H7" s="16" t="inlineStr">
        <is>
          <t>Factura Acrededor</t>
        </is>
      </c>
      <c r="I7" s="16" t="inlineStr">
        <is>
          <t>21/08/2025</t>
        </is>
      </c>
      <c r="J7" s="16" t="n">
        <v>0</v>
      </c>
      <c r="K7" s="17" t="n">
        <v>-19850219</v>
      </c>
      <c r="M7" s="16" t="inlineStr">
        <is>
          <t>UNILEVER ANDINA COLOMBIA LTDA/conciliaicon</t>
        </is>
      </c>
      <c r="N7" s="18">
        <f>+H7&amp;" "&amp; E7</f>
        <v/>
      </c>
      <c r="O7" s="18" t="inlineStr">
        <is>
          <t>Cartera</t>
        </is>
      </c>
    </row>
    <row r="8">
      <c r="A8" s="16" t="n">
        <v>348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NOTA DEVOLUCIÓN</t>
        </is>
      </c>
      <c r="F8" s="16" t="inlineStr">
        <is>
          <t>12/09/2025</t>
        </is>
      </c>
      <c r="G8" s="16" t="n">
        <v>1700028193</v>
      </c>
      <c r="H8" s="16" t="inlineStr">
        <is>
          <t>Nota</t>
        </is>
      </c>
      <c r="I8" s="16" t="inlineStr">
        <is>
          <t>05/09/2025</t>
        </is>
      </c>
      <c r="J8" s="16" t="n">
        <v>0</v>
      </c>
      <c r="K8" s="17" t="n">
        <v>15664649</v>
      </c>
      <c r="M8" s="18" t="inlineStr">
        <is>
          <t>NOTA DEVOLUCIÓN POR DEPURACIÓN INVENTARIO SEP 25</t>
        </is>
      </c>
      <c r="N8" s="18">
        <f>+M8</f>
        <v/>
      </c>
      <c r="O8" s="18" t="inlineStr">
        <is>
          <t>Ventas</t>
        </is>
      </c>
    </row>
    <row r="9">
      <c r="A9" s="16" t="n">
        <v>350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NOTA DEVOLUCIÓN</t>
        </is>
      </c>
      <c r="F9" s="16" t="inlineStr">
        <is>
          <t>12/09/2025</t>
        </is>
      </c>
      <c r="G9" s="16" t="n">
        <v>1700028002</v>
      </c>
      <c r="H9" s="16" t="inlineStr">
        <is>
          <t>Nota</t>
        </is>
      </c>
      <c r="I9" s="16" t="inlineStr">
        <is>
          <t>05/09/2025</t>
        </is>
      </c>
      <c r="J9" s="16" t="n">
        <v>0</v>
      </c>
      <c r="K9" s="17" t="n">
        <v>23148793</v>
      </c>
      <c r="L9" s="16" t="inlineStr">
        <is>
          <t>Bucaramanga ZF</t>
        </is>
      </c>
      <c r="M9" s="16" t="inlineStr">
        <is>
          <t>NOTA DEVOLUCIÓN POR DEPURACIÓN INVENTARIO SEP 25</t>
        </is>
      </c>
      <c r="N9" s="18">
        <f>+M9</f>
        <v/>
      </c>
      <c r="O9" s="18" t="inlineStr">
        <is>
          <t>Ventas</t>
        </is>
      </c>
    </row>
    <row r="10">
      <c r="A10" s="16" t="n">
        <v>351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NOTA DEVOLUCIÓN</t>
        </is>
      </c>
      <c r="F10" s="16" t="inlineStr">
        <is>
          <t>12/09/2025</t>
        </is>
      </c>
      <c r="G10" s="16" t="n">
        <v>1700027852</v>
      </c>
      <c r="H10" s="16" t="inlineStr">
        <is>
          <t>Nota</t>
        </is>
      </c>
      <c r="I10" s="16" t="inlineStr">
        <is>
          <t>05/09/2025</t>
        </is>
      </c>
      <c r="J10" s="16" t="n">
        <v>0</v>
      </c>
      <c r="K10" s="17" t="n">
        <v>136694904</v>
      </c>
      <c r="L10" s="16" t="inlineStr">
        <is>
          <t>Cota</t>
        </is>
      </c>
      <c r="M10" s="16" t="inlineStr">
        <is>
          <t>NOTA DEVOLUCIÓN POR DEPURACIÓN INVENTARIO SEP 25</t>
        </is>
      </c>
      <c r="N10" s="18">
        <f>+M10</f>
        <v/>
      </c>
      <c r="O10" s="18" t="inlineStr">
        <is>
          <t>Ventas</t>
        </is>
      </c>
    </row>
    <row r="11">
      <c r="A11" s="16" t="n">
        <v>352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NOTA DEVOLUCIÓN</t>
        </is>
      </c>
      <c r="F11" s="16" t="inlineStr">
        <is>
          <t>12/09/2025</t>
        </is>
      </c>
      <c r="G11" s="16" t="n">
        <v>1700027696</v>
      </c>
      <c r="H11" s="16" t="inlineStr">
        <is>
          <t>Nota</t>
        </is>
      </c>
      <c r="I11" s="16" t="inlineStr">
        <is>
          <t>05/09/2025</t>
        </is>
      </c>
      <c r="J11" s="16" t="n">
        <v>0</v>
      </c>
      <c r="K11" s="17" t="n">
        <v>58852874</v>
      </c>
      <c r="L11" s="16" t="inlineStr">
        <is>
          <t>Palmira</t>
        </is>
      </c>
      <c r="M11" s="16" t="inlineStr">
        <is>
          <t>NOTA DEVOLUCIÓN POR DEPURACIÓN INVENTARIO SEP 25</t>
        </is>
      </c>
      <c r="N11" s="18">
        <f>+M11</f>
        <v/>
      </c>
      <c r="O11" s="18" t="inlineStr">
        <is>
          <t>Ventas</t>
        </is>
      </c>
    </row>
    <row r="12">
      <c r="A12" s="16" t="n">
        <v>353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NOTA DEVOLUCIÓN</t>
        </is>
      </c>
      <c r="F12" s="16" t="inlineStr">
        <is>
          <t>12/09/2025</t>
        </is>
      </c>
      <c r="G12" s="16" t="n">
        <v>1700027502</v>
      </c>
      <c r="H12" s="16" t="inlineStr">
        <is>
          <t>Nota</t>
        </is>
      </c>
      <c r="I12" s="16" t="inlineStr">
        <is>
          <t>05/09/2025</t>
        </is>
      </c>
      <c r="J12" s="16" t="n">
        <v>0</v>
      </c>
      <c r="K12" s="17" t="n">
        <v>25771569</v>
      </c>
      <c r="L12" s="16" t="inlineStr">
        <is>
          <t>Barranquilla</t>
        </is>
      </c>
      <c r="M12" s="16" t="inlineStr">
        <is>
          <t>NOTA DEVOLUCIÓN POR DEPURACIÓN INVENTARIO SEP 25</t>
        </is>
      </c>
      <c r="N12" s="18">
        <f>+M12</f>
        <v/>
      </c>
      <c r="O12" s="18" t="inlineStr">
        <is>
          <t>Ventas</t>
        </is>
      </c>
    </row>
    <row r="13">
      <c r="A13" s="16" t="n">
        <v>358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AUT.G.COMERCIAL</t>
        </is>
      </c>
      <c r="F13" s="16" t="inlineStr">
        <is>
          <t>12/09/2025</t>
        </is>
      </c>
      <c r="G13" s="16" t="n">
        <v>1700028339</v>
      </c>
      <c r="H13" s="16" t="inlineStr">
        <is>
          <t>Nota</t>
        </is>
      </c>
      <c r="I13" s="16" t="inlineStr">
        <is>
          <t>08/09/2025</t>
        </is>
      </c>
      <c r="J13" s="16" t="n">
        <v>0</v>
      </c>
      <c r="K13" s="17" t="n">
        <v>110942</v>
      </c>
      <c r="L13" s="16" t="inlineStr">
        <is>
          <t>Cota</t>
        </is>
      </c>
      <c r="M13" s="18" t="inlineStr">
        <is>
          <t>Dev.&gt;.a.30.dias.en.CEDI.8_Sep_</t>
        </is>
      </c>
      <c r="N13" s="18">
        <f>+M13</f>
        <v/>
      </c>
      <c r="O13" s="18" t="inlineStr">
        <is>
          <t xml:space="preserve">COL </t>
        </is>
      </c>
    </row>
    <row r="14">
      <c r="A14" s="16" t="n">
        <v>360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F14" s="16" t="inlineStr">
        <is>
          <t>12/09/2025</t>
        </is>
      </c>
      <c r="G14" s="16" t="n">
        <v>1700028683</v>
      </c>
      <c r="H14" s="16" t="inlineStr">
        <is>
          <t>Nota</t>
        </is>
      </c>
      <c r="I14" s="16" t="inlineStr">
        <is>
          <t>11/09/2025</t>
        </is>
      </c>
      <c r="J14" s="16" t="n">
        <v>0</v>
      </c>
      <c r="K14" s="17" t="n">
        <v>82067413</v>
      </c>
      <c r="L14" s="16" t="inlineStr">
        <is>
          <t>Cota</t>
        </is>
      </c>
      <c r="M14" s="16" t="inlineStr">
        <is>
          <t>DDPD UNILEVER MIN 2Q 2025</t>
        </is>
      </c>
      <c r="N14" s="18">
        <f>+M14</f>
        <v/>
      </c>
      <c r="O14" s="18" t="inlineStr">
        <is>
          <t>Ventas</t>
        </is>
      </c>
    </row>
    <row r="15">
      <c r="A15" s="16" t="n">
        <v>363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C. UNILEVER</t>
        </is>
      </c>
      <c r="F15" s="16" t="inlineStr">
        <is>
          <t>12/09/2025</t>
        </is>
      </c>
      <c r="G15" s="16" t="n">
        <v>1700028726</v>
      </c>
      <c r="H15" s="16" t="inlineStr">
        <is>
          <t>Nota</t>
        </is>
      </c>
      <c r="I15" s="16" t="inlineStr">
        <is>
          <t>12/09/2025</t>
        </is>
      </c>
      <c r="J15" s="16" t="n">
        <v>0</v>
      </c>
      <c r="K15" s="17" t="n">
        <v>22013501</v>
      </c>
      <c r="M15" s="16" t="inlineStr">
        <is>
          <t>DCTO 2.00% GLOBAL PAGO ANTICIPADO UNILEVER</t>
        </is>
      </c>
      <c r="N15" s="18">
        <f>+M15</f>
        <v/>
      </c>
      <c r="O15" s="18" t="inlineStr">
        <is>
          <t>DPP</t>
        </is>
      </c>
    </row>
    <row r="16">
      <c r="A16" s="16" t="n">
        <v>605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PMP1276671</t>
        </is>
      </c>
      <c r="F16" s="16" t="inlineStr">
        <is>
          <t>12/09/2025</t>
        </is>
      </c>
      <c r="G16" s="16" t="n">
        <v>5100335935</v>
      </c>
      <c r="H16" s="16" t="inlineStr">
        <is>
          <t>Factura Acrededor</t>
        </is>
      </c>
      <c r="I16" s="16" t="inlineStr">
        <is>
          <t>20/08/2025</t>
        </is>
      </c>
      <c r="J16" s="16" t="n">
        <v>0</v>
      </c>
      <c r="K16" s="17" t="n">
        <v>-23118825</v>
      </c>
      <c r="L16" s="16" t="inlineStr">
        <is>
          <t>Cerritos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606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PMP1276671</t>
        </is>
      </c>
      <c r="F17" s="16" t="inlineStr">
        <is>
          <t>12/09/2025</t>
        </is>
      </c>
      <c r="G17" s="16" t="n">
        <v>5100335936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128471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609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PMP1277137</t>
        </is>
      </c>
      <c r="F18" s="16" t="inlineStr">
        <is>
          <t>12/09/2025</t>
        </is>
      </c>
      <c r="G18" s="16" t="n">
        <v>5100337263</v>
      </c>
      <c r="H18" s="16" t="inlineStr">
        <is>
          <t>Reduc Factura Compra</t>
        </is>
      </c>
      <c r="I18" s="16" t="inlineStr">
        <is>
          <t>21/08/2025</t>
        </is>
      </c>
      <c r="J18" s="16" t="n">
        <v>0</v>
      </c>
      <c r="K18" s="17" t="n">
        <v>973783</v>
      </c>
      <c r="L18" s="16" t="inlineStr">
        <is>
          <t>Cota</t>
        </is>
      </c>
      <c r="M18" s="16" t="inlineStr">
        <is>
          <t>UNILEVER ANDINA COLOMBIA LTDA/conciliacion</t>
        </is>
      </c>
      <c r="N18" s="18">
        <f>+H18&amp;" "&amp;E18</f>
        <v/>
      </c>
      <c r="O18" s="18" t="inlineStr">
        <is>
          <t>Ventas</t>
        </is>
      </c>
    </row>
    <row r="19">
      <c r="A19" s="16" t="n">
        <v>610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E19" s="16" t="inlineStr">
        <is>
          <t>PMP1276991</t>
        </is>
      </c>
      <c r="F19" s="16" t="inlineStr">
        <is>
          <t>12/09/2025</t>
        </is>
      </c>
      <c r="G19" s="16" t="n">
        <v>5100337491</v>
      </c>
      <c r="H19" s="16" t="inlineStr">
        <is>
          <t>Factura Acrededor</t>
        </is>
      </c>
      <c r="I19" s="16" t="inlineStr">
        <is>
          <t>21/08/2025</t>
        </is>
      </c>
      <c r="J19" s="16" t="n">
        <v>0</v>
      </c>
      <c r="K19" s="17" t="n">
        <v>-21513304</v>
      </c>
      <c r="M19" s="16" t="inlineStr">
        <is>
          <t>UNILEVER ANDINA COLOMBIA LTDA/conciliacion</t>
        </is>
      </c>
      <c r="N19" s="18">
        <f>+H19&amp;" "&amp; E19</f>
        <v/>
      </c>
      <c r="O19" s="18" t="inlineStr">
        <is>
          <t>Cartera</t>
        </is>
      </c>
    </row>
    <row r="20">
      <c r="A20" s="16" t="n">
        <v>611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PMP1277137</t>
        </is>
      </c>
      <c r="F20" s="16" t="inlineStr">
        <is>
          <t>12/09/2025</t>
        </is>
      </c>
      <c r="G20" s="16" t="n">
        <v>5100337262</v>
      </c>
      <c r="H20" s="16" t="inlineStr">
        <is>
          <t>Factura Acrededor</t>
        </is>
      </c>
      <c r="I20" s="16" t="inlineStr">
        <is>
          <t>21/08/2025</t>
        </is>
      </c>
      <c r="J20" s="16" t="n">
        <v>0</v>
      </c>
      <c r="K20" s="17" t="n">
        <v>-111539485</v>
      </c>
      <c r="L20" s="16" t="inlineStr">
        <is>
          <t>Cota</t>
        </is>
      </c>
      <c r="M20" s="16" t="inlineStr">
        <is>
          <t>UNILEVER ANDINA COLOMBIA LTDA/conciliacion</t>
        </is>
      </c>
      <c r="N20" s="18">
        <f>+H20&amp;" "&amp; E20</f>
        <v/>
      </c>
      <c r="O20" s="18" t="inlineStr">
        <is>
          <t>Cartera</t>
        </is>
      </c>
    </row>
    <row r="21">
      <c r="A21" s="16" t="n">
        <v>612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PMP1276991</t>
        </is>
      </c>
      <c r="F21" s="16" t="inlineStr">
        <is>
          <t>12/09/2025</t>
        </is>
      </c>
      <c r="G21" s="16" t="n">
        <v>5100337492</v>
      </c>
      <c r="H21" s="16" t="inlineStr">
        <is>
          <t>Reduc Factura Compra</t>
        </is>
      </c>
      <c r="I21" s="16" t="inlineStr">
        <is>
          <t>21/08/2025</t>
        </is>
      </c>
      <c r="J21" s="16" t="n">
        <v>0</v>
      </c>
      <c r="K21" s="17" t="n">
        <v>375295</v>
      </c>
      <c r="M21" s="16" t="inlineStr">
        <is>
          <t>UNILEVER ANDINA COLOMBIA LTDA/conciliacion</t>
        </is>
      </c>
      <c r="N21" s="18">
        <f>+H21&amp;" "&amp;E21</f>
        <v/>
      </c>
      <c r="O21" s="18" t="inlineStr">
        <is>
          <t>Ventas</t>
        </is>
      </c>
    </row>
    <row r="22">
      <c r="A22" s="16" t="n">
        <v>636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NOTA DEVOLUCIÓN</t>
        </is>
      </c>
      <c r="F22" s="16" t="inlineStr">
        <is>
          <t>12/09/2025</t>
        </is>
      </c>
      <c r="G22" s="16" t="n">
        <v>1700028194</v>
      </c>
      <c r="H22" s="16" t="inlineStr">
        <is>
          <t>Nota</t>
        </is>
      </c>
      <c r="I22" s="16" t="inlineStr">
        <is>
          <t>05/09/2025</t>
        </is>
      </c>
      <c r="J22" s="16" t="n">
        <v>0</v>
      </c>
      <c r="K22" s="17" t="n">
        <v>28813</v>
      </c>
      <c r="M22" s="16" t="inlineStr">
        <is>
          <t>NOTA DEVOLUCIÓN POR DEPURACIÓN INVENTARIO SEP 25</t>
        </is>
      </c>
      <c r="N22" s="18">
        <f>+M22</f>
        <v/>
      </c>
      <c r="O22" s="18" t="inlineStr">
        <is>
          <t>Ventas</t>
        </is>
      </c>
    </row>
    <row r="23">
      <c r="A23" s="16" t="n">
        <v>638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NOTA DEVOLUCIÓN</t>
        </is>
      </c>
      <c r="F23" s="16" t="inlineStr">
        <is>
          <t>12/09/2025</t>
        </is>
      </c>
      <c r="G23" s="16" t="n">
        <v>1700027503</v>
      </c>
      <c r="H23" s="16" t="inlineStr">
        <is>
          <t>Nota</t>
        </is>
      </c>
      <c r="I23" s="16" t="inlineStr">
        <is>
          <t>05/09/2025</t>
        </is>
      </c>
      <c r="J23" s="16" t="n">
        <v>0</v>
      </c>
      <c r="K23" s="17" t="n">
        <v>3659996</v>
      </c>
      <c r="L23" s="16" t="inlineStr">
        <is>
          <t>Barranquilla</t>
        </is>
      </c>
      <c r="M23" s="16" t="inlineStr">
        <is>
          <t>NOTA DEVOLUCIÓN POR DEPURACIÓN INVENTARIO SEP 25</t>
        </is>
      </c>
      <c r="N23" s="18">
        <f>+M23</f>
        <v/>
      </c>
      <c r="O23" s="18" t="inlineStr">
        <is>
          <t>Ventas</t>
        </is>
      </c>
    </row>
    <row r="24">
      <c r="A24" s="16" t="n">
        <v>639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NOTA DEVOLUCIÓN</t>
        </is>
      </c>
      <c r="F24" s="16" t="inlineStr">
        <is>
          <t>12/09/2025</t>
        </is>
      </c>
      <c r="G24" s="16" t="n">
        <v>1700027697</v>
      </c>
      <c r="H24" s="16" t="inlineStr">
        <is>
          <t>Nota</t>
        </is>
      </c>
      <c r="I24" s="16" t="inlineStr">
        <is>
          <t>05/09/2025</t>
        </is>
      </c>
      <c r="J24" s="16" t="n">
        <v>0</v>
      </c>
      <c r="K24" s="17" t="n">
        <v>1074320</v>
      </c>
      <c r="L24" s="16" t="inlineStr">
        <is>
          <t>Palmira</t>
        </is>
      </c>
      <c r="M24" s="16" t="inlineStr">
        <is>
          <t>NOTA DEVOLUCIÓN POR DEPURACIÓN INVENTARIO SEP 25</t>
        </is>
      </c>
      <c r="N24" s="18">
        <f>+M24</f>
        <v/>
      </c>
      <c r="O24" s="18" t="inlineStr">
        <is>
          <t>Ventas</t>
        </is>
      </c>
    </row>
    <row r="25">
      <c r="A25" s="16" t="n">
        <v>640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NOTA DEVOLUCIÓN</t>
        </is>
      </c>
      <c r="F25" s="16" t="inlineStr">
        <is>
          <t>12/09/2025</t>
        </is>
      </c>
      <c r="G25" s="16" t="n">
        <v>1700027853</v>
      </c>
      <c r="H25" s="16" t="inlineStr">
        <is>
          <t>Nota</t>
        </is>
      </c>
      <c r="I25" s="16" t="inlineStr">
        <is>
          <t>05/09/2025</t>
        </is>
      </c>
      <c r="J25" s="16" t="n">
        <v>0</v>
      </c>
      <c r="K25" s="17" t="n">
        <v>8010033</v>
      </c>
      <c r="L25" s="16" t="inlineStr">
        <is>
          <t>Cota</t>
        </is>
      </c>
      <c r="M25" s="16" t="inlineStr">
        <is>
          <t>NOTA DEVOLUCIÓN POR DEPURACIÓN INVENTARIO SEP 25</t>
        </is>
      </c>
      <c r="N25" s="18">
        <f>+M25</f>
        <v/>
      </c>
      <c r="O25" s="18" t="inlineStr">
        <is>
          <t>Ventas</t>
        </is>
      </c>
    </row>
    <row r="26">
      <c r="A26" s="16" t="n">
        <v>642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6" t="inlineStr">
        <is>
          <t>NOTA DEVOLUCIÓN</t>
        </is>
      </c>
      <c r="F26" s="16" t="inlineStr">
        <is>
          <t>12/09/2025</t>
        </is>
      </c>
      <c r="G26" s="16" t="n">
        <v>1700028003</v>
      </c>
      <c r="H26" s="16" t="inlineStr">
        <is>
          <t>Nota</t>
        </is>
      </c>
      <c r="I26" s="16" t="inlineStr">
        <is>
          <t>05/09/2025</t>
        </is>
      </c>
      <c r="J26" s="16" t="n">
        <v>0</v>
      </c>
      <c r="K26" s="17" t="n">
        <v>209929</v>
      </c>
      <c r="L26" s="16" t="inlineStr">
        <is>
          <t>Bucaramanga ZF</t>
        </is>
      </c>
      <c r="M26" s="16" t="inlineStr">
        <is>
          <t>NOTA DEVOLUCIÓN POR DEPURACIÓN INVENTARIO SEP 25</t>
        </is>
      </c>
      <c r="N26" s="18">
        <f>+M26</f>
        <v/>
      </c>
      <c r="O26" s="18" t="inlineStr">
        <is>
          <t>Ventas</t>
        </is>
      </c>
    </row>
    <row r="27">
      <c r="A27" s="16" t="n">
        <v>644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AUT.G.COMERCIAL</t>
        </is>
      </c>
      <c r="F27" s="16" t="inlineStr">
        <is>
          <t>12/09/2025</t>
        </is>
      </c>
      <c r="G27" s="16" t="n">
        <v>1700028340</v>
      </c>
      <c r="H27" s="16" t="inlineStr">
        <is>
          <t>Nota</t>
        </is>
      </c>
      <c r="I27" s="16" t="inlineStr">
        <is>
          <t>08/09/2025</t>
        </is>
      </c>
      <c r="J27" s="16" t="n">
        <v>0</v>
      </c>
      <c r="K27" s="17" t="n">
        <v>97776</v>
      </c>
      <c r="L27" s="16" t="inlineStr">
        <is>
          <t>Cota</t>
        </is>
      </c>
      <c r="M27" s="16" t="inlineStr">
        <is>
          <t>Dev.&gt;.a.30.dias.en.CEDI.8_Sep_</t>
        </is>
      </c>
      <c r="N27" s="18">
        <f>+M27</f>
        <v/>
      </c>
      <c r="O27" s="18" t="inlineStr">
        <is>
          <t xml:space="preserve">COL </t>
        </is>
      </c>
    </row>
    <row r="28">
      <c r="A28" s="16" t="n">
        <v>950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PMP-1273112</t>
        </is>
      </c>
      <c r="F28" s="16" t="inlineStr">
        <is>
          <t>12/09/2025</t>
        </is>
      </c>
      <c r="G28" s="16" t="n">
        <v>5100315882</v>
      </c>
      <c r="H28" s="16" t="inlineStr">
        <is>
          <t>Factura Acrededor</t>
        </is>
      </c>
      <c r="I28" s="16" t="inlineStr">
        <is>
          <t>12/08/2025</t>
        </is>
      </c>
      <c r="J28" s="16" t="n">
        <v>0</v>
      </c>
      <c r="K28" s="17" t="n">
        <v>-27974992</v>
      </c>
      <c r="M28" s="16" t="inlineStr">
        <is>
          <t>UNILEVER ANDINA COLOMBIA LTDA/CONCILIACION</t>
        </is>
      </c>
      <c r="N28" s="18">
        <f>+H28&amp;" "&amp; E28</f>
        <v/>
      </c>
      <c r="O28" s="18" t="inlineStr">
        <is>
          <t>Cartera</t>
        </is>
      </c>
    </row>
    <row r="29">
      <c r="A29" s="16" t="n">
        <v>951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E29" s="16" t="inlineStr">
        <is>
          <t>PMP1273596</t>
        </is>
      </c>
      <c r="F29" s="16" t="inlineStr">
        <is>
          <t>12/09/2025</t>
        </is>
      </c>
      <c r="G29" s="16" t="n">
        <v>5100317247</v>
      </c>
      <c r="H29" s="16" t="inlineStr">
        <is>
          <t>Factura Acrededor</t>
        </is>
      </c>
      <c r="I29" s="16" t="inlineStr">
        <is>
          <t>13/08/2025</t>
        </is>
      </c>
      <c r="J29" s="16" t="n">
        <v>0</v>
      </c>
      <c r="K29" s="17" t="n">
        <v>-28749643</v>
      </c>
      <c r="L29" s="16" t="inlineStr">
        <is>
          <t>Palmira</t>
        </is>
      </c>
      <c r="M29" s="16" t="inlineStr">
        <is>
          <t>UNILEVER ANDINA COLOMBIA LTDA</t>
        </is>
      </c>
      <c r="N29" s="18">
        <f>+H29&amp;" "&amp; E29</f>
        <v/>
      </c>
      <c r="O29" s="18" t="inlineStr">
        <is>
          <t>Cartera</t>
        </is>
      </c>
    </row>
    <row r="30">
      <c r="A30" s="16" t="n">
        <v>952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E30" s="16" t="inlineStr">
        <is>
          <t>PMP1273112</t>
        </is>
      </c>
      <c r="F30" s="16" t="inlineStr">
        <is>
          <t>12/09/2025</t>
        </is>
      </c>
      <c r="G30" s="16" t="n">
        <v>5100315883</v>
      </c>
      <c r="H30" s="16" t="inlineStr">
        <is>
          <t>Reduc Factura Compra</t>
        </is>
      </c>
      <c r="I30" s="16" t="inlineStr">
        <is>
          <t>12/08/2025</t>
        </is>
      </c>
      <c r="J30" s="16" t="n">
        <v>0</v>
      </c>
      <c r="K30" s="17" t="n">
        <v>98733</v>
      </c>
      <c r="M30" s="16" t="inlineStr">
        <is>
          <t>UNILEVER ANDINA COLOMBIA LTDA/CONCILIACION</t>
        </is>
      </c>
      <c r="N30" s="18">
        <f>+H30&amp;" "&amp;E30</f>
        <v/>
      </c>
      <c r="O30" s="18" t="inlineStr">
        <is>
          <t>Ventas</t>
        </is>
      </c>
    </row>
    <row r="31">
      <c r="A31" s="16" t="n">
        <v>954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inlineStr">
        <is>
          <t>PMP1273863</t>
        </is>
      </c>
      <c r="F31" s="16" t="inlineStr">
        <is>
          <t>12/09/2025</t>
        </is>
      </c>
      <c r="G31" s="16" t="n">
        <v>5100318608</v>
      </c>
      <c r="H31" s="16" t="inlineStr">
        <is>
          <t>Factura Acrededor</t>
        </is>
      </c>
      <c r="I31" s="16" t="inlineStr">
        <is>
          <t>13/08/2025</t>
        </is>
      </c>
      <c r="J31" s="16" t="n">
        <v>0</v>
      </c>
      <c r="K31" s="17" t="n">
        <v>-11408205</v>
      </c>
      <c r="L31" s="16" t="inlineStr">
        <is>
          <t>Cerritos</t>
        </is>
      </c>
      <c r="N31" s="18">
        <f>+H31&amp;" "&amp; E31</f>
        <v/>
      </c>
      <c r="O31" s="18" t="inlineStr">
        <is>
          <t>Cartera</t>
        </is>
      </c>
    </row>
    <row r="32">
      <c r="A32" s="16" t="n">
        <v>955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PMP1273878</t>
        </is>
      </c>
      <c r="F32" s="16" t="inlineStr">
        <is>
          <t>12/09/2025</t>
        </is>
      </c>
      <c r="G32" s="16" t="n">
        <v>5100318343</v>
      </c>
      <c r="H32" s="16" t="inlineStr">
        <is>
          <t>Reduc Factura Compra</t>
        </is>
      </c>
      <c r="I32" s="16" t="inlineStr">
        <is>
          <t>13/08/2025</t>
        </is>
      </c>
      <c r="J32" s="16" t="n">
        <v>0</v>
      </c>
      <c r="K32" s="17" t="n">
        <v>1267188</v>
      </c>
      <c r="L32" s="16" t="inlineStr">
        <is>
          <t>Cota</t>
        </is>
      </c>
      <c r="M32" s="16" t="inlineStr">
        <is>
          <t>UNILEVER ANDINA COLOMBIA LTDA/CONCILIACION</t>
        </is>
      </c>
      <c r="N32" s="18">
        <f>+H32&amp;" "&amp;E32</f>
        <v/>
      </c>
      <c r="O32" s="18" t="inlineStr">
        <is>
          <t>Ventas</t>
        </is>
      </c>
    </row>
    <row r="33">
      <c r="A33" s="16" t="n">
        <v>956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inlineStr">
        <is>
          <t>PMP1273878</t>
        </is>
      </c>
      <c r="F33" s="16" t="inlineStr">
        <is>
          <t>12/09/2025</t>
        </is>
      </c>
      <c r="G33" s="16" t="n">
        <v>5100318342</v>
      </c>
      <c r="H33" s="16" t="inlineStr">
        <is>
          <t>Factura Acrededor</t>
        </is>
      </c>
      <c r="I33" s="16" t="inlineStr">
        <is>
          <t>13/08/2025</t>
        </is>
      </c>
      <c r="J33" s="16" t="n">
        <v>0</v>
      </c>
      <c r="K33" s="17" t="n">
        <v>-154734955</v>
      </c>
      <c r="L33" s="16" t="inlineStr">
        <is>
          <t>Cota</t>
        </is>
      </c>
      <c r="M33" s="16" t="inlineStr">
        <is>
          <t>UNILEVER ANDINA COLOMBIA LTDA/CONCILIACION</t>
        </is>
      </c>
      <c r="N33" s="18">
        <f>+H33&amp;" "&amp; E33</f>
        <v/>
      </c>
      <c r="O33" s="18" t="inlineStr">
        <is>
          <t>Cartera</t>
        </is>
      </c>
    </row>
    <row r="34">
      <c r="A34" s="16" t="n">
        <v>1005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n">
        <v>5009108214</v>
      </c>
      <c r="F34" s="16" t="inlineStr">
        <is>
          <t>12/09/2025</t>
        </is>
      </c>
      <c r="G34" s="16" t="n">
        <v>5100358331</v>
      </c>
      <c r="H34" s="16" t="inlineStr">
        <is>
          <t>Devolucion</t>
        </is>
      </c>
      <c r="I34" s="16" t="inlineStr">
        <is>
          <t>10/09/2025</t>
        </is>
      </c>
      <c r="J34" s="16" t="n">
        <v>0</v>
      </c>
      <c r="K34" s="17" t="n">
        <v>2743</v>
      </c>
      <c r="L34" s="16" t="inlineStr">
        <is>
          <t>Cerritos</t>
        </is>
      </c>
      <c r="N34" s="18">
        <f>_xlfn.CONCAT(H34 &amp;" "&amp; E34)</f>
        <v/>
      </c>
      <c r="O34" s="18" t="inlineStr">
        <is>
          <t>AVERIAS</t>
        </is>
      </c>
    </row>
    <row r="35">
      <c r="A35" s="16" t="n">
        <v>1006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5009109080</v>
      </c>
      <c r="F35" s="16" t="inlineStr">
        <is>
          <t>12/09/2025</t>
        </is>
      </c>
      <c r="G35" s="16" t="n">
        <v>5100358759</v>
      </c>
      <c r="H35" s="16" t="inlineStr">
        <is>
          <t>Devolucion</t>
        </is>
      </c>
      <c r="I35" s="16" t="inlineStr">
        <is>
          <t>10/09/2025</t>
        </is>
      </c>
      <c r="J35" s="16" t="n">
        <v>0</v>
      </c>
      <c r="K35" s="17" t="n">
        <v>13069</v>
      </c>
      <c r="L35" s="16" t="inlineStr">
        <is>
          <t>Cerritos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1007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n">
        <v>5009114474</v>
      </c>
      <c r="F36" s="16" t="inlineStr">
        <is>
          <t>12/09/2025</t>
        </is>
      </c>
      <c r="G36" s="16" t="n">
        <v>5100360110</v>
      </c>
      <c r="H36" s="16" t="inlineStr">
        <is>
          <t>Devolucion</t>
        </is>
      </c>
      <c r="I36" s="16" t="inlineStr">
        <is>
          <t>11/09/2025</t>
        </is>
      </c>
      <c r="J36" s="16" t="n">
        <v>0</v>
      </c>
      <c r="K36" s="17" t="n">
        <v>5876</v>
      </c>
      <c r="L36" s="16" t="inlineStr">
        <is>
          <t>Cerritos</t>
        </is>
      </c>
      <c r="N36" s="18">
        <f>_xlfn.CONCAT(H36 &amp;" "&amp; E36)</f>
        <v/>
      </c>
      <c r="O36" s="18" t="inlineStr">
        <is>
          <t>AVERIAS</t>
        </is>
      </c>
    </row>
    <row r="37">
      <c r="A37" s="16" t="n">
        <v>1303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E37" s="16" t="inlineStr">
        <is>
          <t>PMP1276669</t>
        </is>
      </c>
      <c r="F37" s="16" t="inlineStr">
        <is>
          <t>12/09/2025</t>
        </is>
      </c>
      <c r="G37" s="16" t="n">
        <v>5100335924</v>
      </c>
      <c r="H37" s="16" t="inlineStr">
        <is>
          <t>Factura Acrededor</t>
        </is>
      </c>
      <c r="I37" s="16" t="inlineStr">
        <is>
          <t>20/08/2025</t>
        </is>
      </c>
      <c r="J37" s="16" t="n">
        <v>0</v>
      </c>
      <c r="K37" s="17" t="n">
        <v>-18919275</v>
      </c>
      <c r="L37" s="16" t="inlineStr">
        <is>
          <t>Cerritos</t>
        </is>
      </c>
      <c r="N37" s="18">
        <f>+H37&amp;" "&amp; E37</f>
        <v/>
      </c>
      <c r="O37" s="18" t="inlineStr">
        <is>
          <t>Cartera</t>
        </is>
      </c>
    </row>
    <row r="38">
      <c r="A38" s="16" t="n">
        <v>1305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PMP1277138</t>
        </is>
      </c>
      <c r="F38" s="16" t="inlineStr">
        <is>
          <t>12/09/2025</t>
        </is>
      </c>
      <c r="G38" s="16" t="n">
        <v>5100337140</v>
      </c>
      <c r="H38" s="16" t="inlineStr">
        <is>
          <t>Factura Acrededor</t>
        </is>
      </c>
      <c r="I38" s="16" t="inlineStr">
        <is>
          <t>21/08/2025</t>
        </is>
      </c>
      <c r="J38" s="16" t="n">
        <v>0</v>
      </c>
      <c r="K38" s="17" t="n">
        <v>-25908600</v>
      </c>
      <c r="L38" s="16" t="inlineStr">
        <is>
          <t>Cota</t>
        </is>
      </c>
      <c r="M38" s="16" t="inlineStr">
        <is>
          <t>UNILEVER ANDINA COLOMBIA LTDA</t>
        </is>
      </c>
      <c r="N38" s="18">
        <f>+H38&amp;" "&amp; E38</f>
        <v/>
      </c>
      <c r="O38" s="18" t="inlineStr">
        <is>
          <t>Cartera</t>
        </is>
      </c>
    </row>
    <row r="39">
      <c r="A39" s="16" t="n">
        <v>1306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inlineStr">
        <is>
          <t>PMP1276993</t>
        </is>
      </c>
      <c r="F39" s="16" t="inlineStr">
        <is>
          <t>12/09/2025</t>
        </is>
      </c>
      <c r="G39" s="16" t="n">
        <v>5100337104</v>
      </c>
      <c r="H39" s="16" t="inlineStr">
        <is>
          <t>Factura Acrededor</t>
        </is>
      </c>
      <c r="I39" s="16" t="inlineStr">
        <is>
          <t>21/08/2025</t>
        </is>
      </c>
      <c r="J39" s="16" t="n">
        <v>0</v>
      </c>
      <c r="K39" s="17" t="n">
        <v>-24310076</v>
      </c>
      <c r="M39" s="16" t="inlineStr">
        <is>
          <t>UNILEVER ANDINA COLOMBIA LTDA</t>
        </is>
      </c>
      <c r="N39" s="18">
        <f>+H39&amp;" "&amp; E39</f>
        <v/>
      </c>
      <c r="O39" s="18" t="inlineStr">
        <is>
          <t>Cartera</t>
        </is>
      </c>
    </row>
    <row r="40">
      <c r="A40" s="16" t="n">
        <v>1329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NOTA DEVOLUCIÓN</t>
        </is>
      </c>
      <c r="F40" s="16" t="inlineStr">
        <is>
          <t>12/09/2025</t>
        </is>
      </c>
      <c r="G40" s="16" t="n">
        <v>1700027505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52023765</v>
      </c>
      <c r="L40" s="16" t="inlineStr">
        <is>
          <t>Barranquilla</t>
        </is>
      </c>
      <c r="M40" s="16" t="inlineStr">
        <is>
          <t>NOTA DEVOLUCIÓN POR DEPURACIÓN INVENTARIO SEP 25</t>
        </is>
      </c>
      <c r="N40" s="18">
        <f>+M40</f>
        <v/>
      </c>
      <c r="O40" s="18" t="inlineStr">
        <is>
          <t>Ventas</t>
        </is>
      </c>
    </row>
    <row r="41">
      <c r="A41" s="16" t="n">
        <v>1332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1700027317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9458910</v>
      </c>
      <c r="L41" s="16" t="inlineStr">
        <is>
          <t>Cerritos</t>
        </is>
      </c>
      <c r="M41" s="16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1335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12/09/2025</t>
        </is>
      </c>
      <c r="G42" s="16" t="n">
        <v>1700027699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5923198</v>
      </c>
      <c r="L42" s="16" t="inlineStr">
        <is>
          <t>Palmira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1336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1700028005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6652327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1337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1700028196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14421092</v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1339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AUT.G.COMERCIAL</t>
        </is>
      </c>
      <c r="F45" s="16" t="inlineStr">
        <is>
          <t>12/09/2025</t>
        </is>
      </c>
      <c r="G45" s="16" t="n">
        <v>1700028336</v>
      </c>
      <c r="H45" s="16" t="inlineStr">
        <is>
          <t>Nota</t>
        </is>
      </c>
      <c r="I45" s="16" t="inlineStr">
        <is>
          <t>08/09/2025</t>
        </is>
      </c>
      <c r="J45" s="16" t="n">
        <v>0</v>
      </c>
      <c r="K45" s="17" t="n">
        <v>1059035</v>
      </c>
      <c r="L45" s="16" t="inlineStr">
        <is>
          <t>Cota</t>
        </is>
      </c>
      <c r="M45" s="16" t="inlineStr">
        <is>
          <t>Dev.&gt;.a.30.dias.en.CEDI.8_Sep_</t>
        </is>
      </c>
      <c r="N45" s="18">
        <f>+M45</f>
        <v/>
      </c>
      <c r="O45" s="18" t="inlineStr">
        <is>
          <t xml:space="preserve">COL </t>
        </is>
      </c>
    </row>
    <row r="46">
      <c r="A46" s="16" t="n">
        <v>1719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PMP1276666</t>
        </is>
      </c>
      <c r="F46" s="16" t="inlineStr">
        <is>
          <t>12/09/2025</t>
        </is>
      </c>
      <c r="G46" s="16" t="n">
        <v>5100335919</v>
      </c>
      <c r="H46" s="16" t="inlineStr">
        <is>
          <t>Factura Acrededor</t>
        </is>
      </c>
      <c r="I46" s="16" t="inlineStr">
        <is>
          <t>20/08/2025</t>
        </is>
      </c>
      <c r="J46" s="16" t="n">
        <v>0</v>
      </c>
      <c r="K46" s="17" t="n">
        <v>-64246828</v>
      </c>
      <c r="L46" s="16" t="inlineStr">
        <is>
          <t>Cerritos</t>
        </is>
      </c>
      <c r="N46" s="18">
        <f>+H46&amp;" "&amp; E46</f>
        <v/>
      </c>
      <c r="O46" s="18" t="inlineStr">
        <is>
          <t>Cartera</t>
        </is>
      </c>
    </row>
    <row r="47">
      <c r="A47" s="16" t="n">
        <v>1720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inlineStr">
        <is>
          <t>PMP1276666</t>
        </is>
      </c>
      <c r="F47" s="16" t="inlineStr">
        <is>
          <t>12/09/2025</t>
        </is>
      </c>
      <c r="G47" s="16" t="n">
        <v>5100335920</v>
      </c>
      <c r="H47" s="16" t="inlineStr">
        <is>
          <t>Reduc Factura Compra</t>
        </is>
      </c>
      <c r="I47" s="16" t="inlineStr">
        <is>
          <t>20/08/2025</t>
        </is>
      </c>
      <c r="J47" s="16" t="n">
        <v>0</v>
      </c>
      <c r="K47" s="17" t="n">
        <v>116211</v>
      </c>
      <c r="L47" s="16" t="inlineStr">
        <is>
          <t>Cerritos</t>
        </is>
      </c>
      <c r="N47" s="18">
        <f>+H47&amp;" "&amp;E47</f>
        <v/>
      </c>
      <c r="O47" s="18" t="inlineStr">
        <is>
          <t>Ventas</t>
        </is>
      </c>
    </row>
    <row r="48">
      <c r="A48" s="16" t="n">
        <v>1721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inlineStr">
        <is>
          <t>PMP1276672</t>
        </is>
      </c>
      <c r="F48" s="16" t="inlineStr">
        <is>
          <t>12/09/2025</t>
        </is>
      </c>
      <c r="G48" s="16" t="n">
        <v>5100335922</v>
      </c>
      <c r="H48" s="16" t="inlineStr">
        <is>
          <t>Factura Acrededor</t>
        </is>
      </c>
      <c r="I48" s="16" t="inlineStr">
        <is>
          <t>20/08/2025</t>
        </is>
      </c>
      <c r="J48" s="16" t="n">
        <v>0</v>
      </c>
      <c r="K48" s="17" t="n">
        <v>-223440</v>
      </c>
      <c r="L48" s="16" t="inlineStr">
        <is>
          <t>Cerritos</t>
        </is>
      </c>
      <c r="N48" s="18">
        <f>+H48&amp;" "&amp; E48</f>
        <v/>
      </c>
      <c r="O48" s="18" t="inlineStr">
        <is>
          <t>Cartera</t>
        </is>
      </c>
    </row>
    <row r="49">
      <c r="A49" s="16" t="n">
        <v>1722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inlineStr">
        <is>
          <t>PMP1276673</t>
        </is>
      </c>
      <c r="F49" s="16" t="inlineStr">
        <is>
          <t>12/09/2025</t>
        </is>
      </c>
      <c r="G49" s="16" t="n">
        <v>5100335926</v>
      </c>
      <c r="H49" s="16" t="inlineStr">
        <is>
          <t>Factura Acrededor</t>
        </is>
      </c>
      <c r="I49" s="16" t="inlineStr">
        <is>
          <t>20/08/2025</t>
        </is>
      </c>
      <c r="J49" s="16" t="n">
        <v>0</v>
      </c>
      <c r="K49" s="17" t="n">
        <v>-2457840</v>
      </c>
      <c r="L49" s="16" t="inlineStr">
        <is>
          <t>Cerritos</t>
        </is>
      </c>
      <c r="N49" s="18">
        <f>+H49&amp;" "&amp; E49</f>
        <v/>
      </c>
      <c r="O49" s="18" t="inlineStr">
        <is>
          <t>Cartera</t>
        </is>
      </c>
    </row>
    <row r="50">
      <c r="A50" s="16" t="n">
        <v>1723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PMP1276668</t>
        </is>
      </c>
      <c r="F50" s="16" t="inlineStr">
        <is>
          <t>12/09/2025</t>
        </is>
      </c>
      <c r="G50" s="16" t="n">
        <v>5100335951</v>
      </c>
      <c r="H50" s="16" t="inlineStr">
        <is>
          <t>Factura Acrededor</t>
        </is>
      </c>
      <c r="I50" s="16" t="inlineStr">
        <is>
          <t>20/08/2025</t>
        </is>
      </c>
      <c r="J50" s="16" t="n">
        <v>0</v>
      </c>
      <c r="K50" s="17" t="n">
        <v>-65729254</v>
      </c>
      <c r="L50" s="16" t="inlineStr">
        <is>
          <t>Cerritos</t>
        </is>
      </c>
      <c r="N50" s="18">
        <f>+H50&amp;" "&amp; E50</f>
        <v/>
      </c>
      <c r="O50" s="18" t="inlineStr">
        <is>
          <t>Cartera</t>
        </is>
      </c>
    </row>
    <row r="51">
      <c r="A51" s="16" t="n">
        <v>1724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PMP1276668</t>
        </is>
      </c>
      <c r="F51" s="16" t="inlineStr">
        <is>
          <t>12/09/2025</t>
        </is>
      </c>
      <c r="G51" s="16" t="n">
        <v>5100335952</v>
      </c>
      <c r="H51" s="16" t="inlineStr">
        <is>
          <t>Reduc Factura Compra</t>
        </is>
      </c>
      <c r="I51" s="16" t="inlineStr">
        <is>
          <t>20/08/2025</t>
        </is>
      </c>
      <c r="J51" s="16" t="n">
        <v>0</v>
      </c>
      <c r="K51" s="17" t="n">
        <v>338713</v>
      </c>
      <c r="L51" s="16" t="inlineStr">
        <is>
          <t>Cerritos</t>
        </is>
      </c>
      <c r="N51" s="18">
        <f>+H51&amp;" "&amp;E51</f>
        <v/>
      </c>
      <c r="O51" s="18" t="inlineStr">
        <is>
          <t>Ventas</t>
        </is>
      </c>
    </row>
    <row r="52">
      <c r="A52" s="16" t="n">
        <v>1726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inlineStr">
        <is>
          <t>PMP1277145</t>
        </is>
      </c>
      <c r="F52" s="16" t="inlineStr">
        <is>
          <t>12/09/2025</t>
        </is>
      </c>
      <c r="G52" s="16" t="n">
        <v>5100337144</v>
      </c>
      <c r="H52" s="16" t="inlineStr">
        <is>
          <t>Factura Acrededor</t>
        </is>
      </c>
      <c r="I52" s="16" t="inlineStr">
        <is>
          <t>21/08/2025</t>
        </is>
      </c>
      <c r="J52" s="16" t="n">
        <v>0</v>
      </c>
      <c r="K52" s="17" t="n">
        <v>-11842275</v>
      </c>
      <c r="L52" s="16" t="inlineStr">
        <is>
          <t>Cota</t>
        </is>
      </c>
      <c r="M52" s="16" t="inlineStr">
        <is>
          <t>UNILEVER ANDINA COLOMBIA LTDA</t>
        </is>
      </c>
      <c r="N52" s="18">
        <f>+H52&amp;" "&amp; E52</f>
        <v/>
      </c>
      <c r="O52" s="18" t="inlineStr">
        <is>
          <t>Cartera</t>
        </is>
      </c>
    </row>
    <row r="53">
      <c r="A53" s="16" t="n">
        <v>1727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E53" s="16" t="inlineStr">
        <is>
          <t>PMP1277144</t>
        </is>
      </c>
      <c r="F53" s="16" t="inlineStr">
        <is>
          <t>12/09/2025</t>
        </is>
      </c>
      <c r="G53" s="16" t="n">
        <v>5100337147</v>
      </c>
      <c r="H53" s="16" t="inlineStr">
        <is>
          <t>Factura Acrededor</t>
        </is>
      </c>
      <c r="I53" s="16" t="inlineStr">
        <is>
          <t>21/08/2025</t>
        </is>
      </c>
      <c r="J53" s="16" t="n">
        <v>0</v>
      </c>
      <c r="K53" s="17" t="n">
        <v>-19509586</v>
      </c>
      <c r="L53" s="16" t="inlineStr">
        <is>
          <t>Cota</t>
        </is>
      </c>
      <c r="M53" s="16" t="inlineStr">
        <is>
          <t>UNILEVER ANDINA COLOMBIA LTDA</t>
        </is>
      </c>
      <c r="N53" s="18">
        <f>+H53&amp;" "&amp; E53</f>
        <v/>
      </c>
      <c r="O53" s="18" t="inlineStr">
        <is>
          <t>Cartera</t>
        </is>
      </c>
    </row>
    <row r="54">
      <c r="A54" s="16" t="n">
        <v>1728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inlineStr">
        <is>
          <t>PMP1276990</t>
        </is>
      </c>
      <c r="F54" s="16" t="inlineStr">
        <is>
          <t>12/09/2025</t>
        </is>
      </c>
      <c r="G54" s="16" t="n">
        <v>5100337390</v>
      </c>
      <c r="H54" s="16" t="inlineStr">
        <is>
          <t>Reduc Factura Compra</t>
        </is>
      </c>
      <c r="I54" s="16" t="inlineStr">
        <is>
          <t>21/08/2025</t>
        </is>
      </c>
      <c r="J54" s="16" t="n">
        <v>0</v>
      </c>
      <c r="K54" s="17" t="n">
        <v>538091</v>
      </c>
      <c r="M54" s="16" t="inlineStr">
        <is>
          <t>UNILEVER ANDINA COLOMBIA LTDA/CONCILIAICION</t>
        </is>
      </c>
      <c r="N54" s="18">
        <f>+H54&amp;" "&amp;E54</f>
        <v/>
      </c>
      <c r="O54" s="18" t="inlineStr">
        <is>
          <t>Ventas</t>
        </is>
      </c>
    </row>
    <row r="55">
      <c r="A55" s="16" t="n">
        <v>1729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PMP1276990</t>
        </is>
      </c>
      <c r="F55" s="16" t="inlineStr">
        <is>
          <t>12/09/2025</t>
        </is>
      </c>
      <c r="G55" s="16" t="n">
        <v>5100337389</v>
      </c>
      <c r="H55" s="16" t="inlineStr">
        <is>
          <t>Factura Acrededor</t>
        </is>
      </c>
      <c r="I55" s="16" t="inlineStr">
        <is>
          <t>21/08/2025</t>
        </is>
      </c>
      <c r="J55" s="16" t="n">
        <v>0</v>
      </c>
      <c r="K55" s="17" t="n">
        <v>-91703429</v>
      </c>
      <c r="M55" s="16" t="inlineStr">
        <is>
          <t>UNILEVER ANDINA COLOMBIA LTDA/CONCILIAICION</t>
        </is>
      </c>
      <c r="N55" s="18">
        <f>+H55&amp;" "&amp; E55</f>
        <v/>
      </c>
      <c r="O55" s="18" t="inlineStr">
        <is>
          <t>Cartera</t>
        </is>
      </c>
    </row>
    <row r="56">
      <c r="A56" s="16" t="n">
        <v>1730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PMP1277143</t>
        </is>
      </c>
      <c r="F56" s="16" t="inlineStr">
        <is>
          <t>12/09/2025</t>
        </is>
      </c>
      <c r="G56" s="16" t="n">
        <v>5100337687</v>
      </c>
      <c r="H56" s="16" t="inlineStr">
        <is>
          <t>Factura Acrededor</t>
        </is>
      </c>
      <c r="I56" s="16" t="inlineStr">
        <is>
          <t>21/08/2025</t>
        </is>
      </c>
      <c r="J56" s="16" t="n">
        <v>0</v>
      </c>
      <c r="K56" s="17" t="n">
        <v>-357532623</v>
      </c>
      <c r="L56" s="16" t="inlineStr">
        <is>
          <t>Cota</t>
        </is>
      </c>
      <c r="M56" s="16" t="inlineStr">
        <is>
          <t>UNILEVER ANDINA COLOMBIA LTDA/CONCILIACION</t>
        </is>
      </c>
      <c r="N56" s="18">
        <f>+H56&amp;" "&amp; E56</f>
        <v/>
      </c>
      <c r="O56" s="18" t="inlineStr">
        <is>
          <t>Cartera</t>
        </is>
      </c>
    </row>
    <row r="57">
      <c r="A57" s="16" t="n">
        <v>1731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E57" s="16" t="inlineStr">
        <is>
          <t>PMP1277143</t>
        </is>
      </c>
      <c r="F57" s="16" t="inlineStr">
        <is>
          <t>12/09/2025</t>
        </is>
      </c>
      <c r="G57" s="16" t="n">
        <v>5100337688</v>
      </c>
      <c r="H57" s="16" t="inlineStr">
        <is>
          <t>Reduc Factura Compra</t>
        </is>
      </c>
      <c r="I57" s="16" t="inlineStr">
        <is>
          <t>21/08/2025</t>
        </is>
      </c>
      <c r="J57" s="16" t="n">
        <v>0</v>
      </c>
      <c r="K57" s="17" t="n">
        <v>18833393</v>
      </c>
      <c r="L57" s="16" t="inlineStr">
        <is>
          <t>Cota</t>
        </is>
      </c>
      <c r="M57" s="16" t="inlineStr">
        <is>
          <t>UNILEVER ANDINA COLOMBIA LTDA/CONCILIACION</t>
        </is>
      </c>
      <c r="N57" s="18">
        <f>+H57&amp;" "&amp;E57</f>
        <v/>
      </c>
      <c r="O57" s="18" t="inlineStr">
        <is>
          <t>Ventas</t>
        </is>
      </c>
    </row>
    <row r="58">
      <c r="A58" s="16" t="n">
        <v>1732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inlineStr">
        <is>
          <t>PMP1277142</t>
        </is>
      </c>
      <c r="F58" s="16" t="inlineStr">
        <is>
          <t>12/09/2025</t>
        </is>
      </c>
      <c r="G58" s="16" t="n">
        <v>5100337954</v>
      </c>
      <c r="H58" s="16" t="inlineStr">
        <is>
          <t>Factura Acrededor</t>
        </is>
      </c>
      <c r="I58" s="16" t="inlineStr">
        <is>
          <t>21/08/2025</t>
        </is>
      </c>
      <c r="J58" s="16" t="n">
        <v>0</v>
      </c>
      <c r="K58" s="17" t="n">
        <v>-334587580</v>
      </c>
      <c r="L58" s="16" t="inlineStr">
        <is>
          <t>Cota</t>
        </is>
      </c>
      <c r="M58" s="16" t="inlineStr">
        <is>
          <t>UNILEVER ANDINA COLOMBIA LTDA/CONCILIACION</t>
        </is>
      </c>
      <c r="N58" s="18">
        <f>+H58&amp;" "&amp; E58</f>
        <v/>
      </c>
      <c r="O58" s="18" t="inlineStr">
        <is>
          <t>Cartera</t>
        </is>
      </c>
    </row>
    <row r="59">
      <c r="A59" s="16" t="n">
        <v>1733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inlineStr">
        <is>
          <t>PMP1277142</t>
        </is>
      </c>
      <c r="F59" s="16" t="inlineStr">
        <is>
          <t>12/09/2025</t>
        </is>
      </c>
      <c r="G59" s="16" t="n">
        <v>5100337955</v>
      </c>
      <c r="H59" s="16" t="inlineStr">
        <is>
          <t>Reduc Factura Compra</t>
        </is>
      </c>
      <c r="I59" s="16" t="inlineStr">
        <is>
          <t>21/08/2025</t>
        </is>
      </c>
      <c r="J59" s="16" t="n">
        <v>0</v>
      </c>
      <c r="K59" s="17" t="n">
        <v>1272672</v>
      </c>
      <c r="L59" s="16" t="inlineStr">
        <is>
          <t>Cota</t>
        </is>
      </c>
      <c r="M59" s="16" t="inlineStr">
        <is>
          <t>UNILEVER ANDINA COLOMBIA LTDA/CONCILIACION</t>
        </is>
      </c>
      <c r="N59" s="18">
        <f>+H59&amp;" "&amp;E59</f>
        <v/>
      </c>
      <c r="O59" s="18" t="inlineStr">
        <is>
          <t>Ventas</t>
        </is>
      </c>
    </row>
    <row r="60">
      <c r="A60" s="16" t="n">
        <v>1735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inlineStr">
        <is>
          <t>PMP1276988</t>
        </is>
      </c>
      <c r="F60" s="16" t="inlineStr">
        <is>
          <t>12/09/2025</t>
        </is>
      </c>
      <c r="G60" s="16" t="n">
        <v>5100337288</v>
      </c>
      <c r="H60" s="16" t="inlineStr">
        <is>
          <t>Reduc Factura Compra</t>
        </is>
      </c>
      <c r="I60" s="16" t="inlineStr">
        <is>
          <t>21/08/2025</t>
        </is>
      </c>
      <c r="J60" s="16" t="n">
        <v>0</v>
      </c>
      <c r="K60" s="17" t="n">
        <v>182382</v>
      </c>
      <c r="M60" s="16" t="inlineStr">
        <is>
          <t>UNILEVER ANDINA COLOMBIA LTDA/CONCILIACION</t>
        </is>
      </c>
      <c r="N60" s="18">
        <f>+H60&amp;" "&amp;E60</f>
        <v/>
      </c>
      <c r="O60" s="18" t="inlineStr">
        <is>
          <t>Ventas</t>
        </is>
      </c>
    </row>
    <row r="61">
      <c r="A61" s="16" t="n">
        <v>1736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PMP1276988</t>
        </is>
      </c>
      <c r="F61" s="16" t="inlineStr">
        <is>
          <t>12/09/2025</t>
        </is>
      </c>
      <c r="G61" s="16" t="n">
        <v>5100337287</v>
      </c>
      <c r="H61" s="16" t="inlineStr">
        <is>
          <t>Factura Acrededor</t>
        </is>
      </c>
      <c r="I61" s="16" t="inlineStr">
        <is>
          <t>21/08/2025</t>
        </is>
      </c>
      <c r="J61" s="16" t="n">
        <v>0</v>
      </c>
      <c r="K61" s="17" t="n">
        <v>-111183834</v>
      </c>
      <c r="M61" s="16" t="inlineStr">
        <is>
          <t>UNILEVER ANDINA COLOMBIA LTDA/CONCILIACION</t>
        </is>
      </c>
      <c r="N61" s="18">
        <f>+H61&amp;" "&amp; E61</f>
        <v/>
      </c>
      <c r="O61" s="18" t="inlineStr">
        <is>
          <t>Cartera</t>
        </is>
      </c>
    </row>
    <row r="62">
      <c r="A62" s="16" t="n">
        <v>1756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NOTA DEVOLUCIÓN</t>
        </is>
      </c>
      <c r="F62" s="16" t="inlineStr">
        <is>
          <t>12/09/2025</t>
        </is>
      </c>
      <c r="G62" s="16" t="n">
        <v>1700027700</v>
      </c>
      <c r="H62" s="16" t="inlineStr">
        <is>
          <t>Nota</t>
        </is>
      </c>
      <c r="I62" s="16" t="inlineStr">
        <is>
          <t>05/09/2025</t>
        </is>
      </c>
      <c r="J62" s="16" t="n">
        <v>0</v>
      </c>
      <c r="K62" s="17" t="n">
        <v>6022678</v>
      </c>
      <c r="L62" s="16" t="inlineStr">
        <is>
          <t>Palmira</t>
        </is>
      </c>
      <c r="M62" s="16" t="inlineStr">
        <is>
          <t>NOTA DEVOLUCIÓN POR DEPURACIÓN INVENTARIO SEP 25</t>
        </is>
      </c>
      <c r="N62" s="18">
        <f>+M62</f>
        <v/>
      </c>
      <c r="O62" s="18" t="inlineStr">
        <is>
          <t>Ventas</t>
        </is>
      </c>
    </row>
    <row r="63">
      <c r="A63" s="16" t="n">
        <v>1757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NOTA DEVOLUCIÓN</t>
        </is>
      </c>
      <c r="F63" s="16" t="inlineStr">
        <is>
          <t>12/09/2025</t>
        </is>
      </c>
      <c r="G63" s="16" t="n">
        <v>1700028006</v>
      </c>
      <c r="H63" s="16" t="inlineStr">
        <is>
          <t>Nota</t>
        </is>
      </c>
      <c r="I63" s="16" t="inlineStr">
        <is>
          <t>05/09/2025</t>
        </is>
      </c>
      <c r="J63" s="16" t="n">
        <v>0</v>
      </c>
      <c r="K63" s="17" t="n">
        <v>7052198</v>
      </c>
      <c r="L63" s="16" t="inlineStr">
        <is>
          <t>Bucaramanga ZF</t>
        </is>
      </c>
      <c r="M63" s="16" t="inlineStr">
        <is>
          <t>NOTA DEVOLUCIÓN POR DEPURACIÓN INVENTARIO SEP 25</t>
        </is>
      </c>
      <c r="N63" s="18">
        <f>+M63</f>
        <v/>
      </c>
      <c r="O63" s="18" t="inlineStr">
        <is>
          <t>Ventas</t>
        </is>
      </c>
    </row>
    <row r="64">
      <c r="A64" s="16" t="n">
        <v>1758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NOTA DEVOLUCIÓN</t>
        </is>
      </c>
      <c r="F64" s="16" t="inlineStr">
        <is>
          <t>12/09/2025</t>
        </is>
      </c>
      <c r="G64" s="16" t="n">
        <v>1700028197</v>
      </c>
      <c r="H64" s="16" t="inlineStr">
        <is>
          <t>Nota</t>
        </is>
      </c>
      <c r="I64" s="16" t="inlineStr">
        <is>
          <t>05/09/2025</t>
        </is>
      </c>
      <c r="J64" s="16" t="n">
        <v>0</v>
      </c>
      <c r="K64" s="17" t="n">
        <v>22568987</v>
      </c>
      <c r="M64" s="16" t="inlineStr">
        <is>
          <t>NOTA DEVOLUCIÓN POR DEPURACIÓN INVENTARIO SEP 25</t>
        </is>
      </c>
      <c r="N64" s="18">
        <f>+M64</f>
        <v/>
      </c>
      <c r="O64" s="18" t="inlineStr">
        <is>
          <t>Ventas</t>
        </is>
      </c>
    </row>
    <row r="65">
      <c r="A65" s="16" t="n">
        <v>1765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NOTA DEVOLUCIÓN</t>
        </is>
      </c>
      <c r="F65" s="16" t="inlineStr">
        <is>
          <t>12/09/2025</t>
        </is>
      </c>
      <c r="G65" s="16" t="n">
        <v>1700027506</v>
      </c>
      <c r="H65" s="16" t="inlineStr">
        <is>
          <t>Nota</t>
        </is>
      </c>
      <c r="I65" s="16" t="inlineStr">
        <is>
          <t>05/09/2025</t>
        </is>
      </c>
      <c r="J65" s="16" t="n">
        <v>0</v>
      </c>
      <c r="K65" s="17" t="n">
        <v>8073343</v>
      </c>
      <c r="L65" s="16" t="inlineStr">
        <is>
          <t>Barranquilla</t>
        </is>
      </c>
      <c r="M65" s="16" t="inlineStr">
        <is>
          <t>NOTA DEVOLUCIÓN POR DEPURACIÓN INVENTARIO SEP 25</t>
        </is>
      </c>
      <c r="N65" s="18">
        <f>+M65</f>
        <v/>
      </c>
      <c r="O65" s="18" t="inlineStr">
        <is>
          <t>Ventas</t>
        </is>
      </c>
    </row>
    <row r="66">
      <c r="A66" s="16" t="n">
        <v>1766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NOTA DEVOLUCIÓN</t>
        </is>
      </c>
      <c r="F66" s="16" t="inlineStr">
        <is>
          <t>12/09/2025</t>
        </is>
      </c>
      <c r="G66" s="16" t="n">
        <v>1700027318</v>
      </c>
      <c r="H66" s="16" t="inlineStr">
        <is>
          <t>Nota</t>
        </is>
      </c>
      <c r="I66" s="16" t="inlineStr">
        <is>
          <t>05/09/2025</t>
        </is>
      </c>
      <c r="J66" s="16" t="n">
        <v>0</v>
      </c>
      <c r="K66" s="17" t="n">
        <v>3057002</v>
      </c>
      <c r="L66" s="16" t="inlineStr">
        <is>
          <t>Cerritos</t>
        </is>
      </c>
      <c r="M66" s="16" t="inlineStr">
        <is>
          <t>NOTA DEVOLUCIÓN POR DEPURACIÓN INVENTARIO SEP 25</t>
        </is>
      </c>
      <c r="N66" s="18">
        <f>+M66</f>
        <v/>
      </c>
      <c r="O66" s="18" t="inlineStr">
        <is>
          <t>Ventas</t>
        </is>
      </c>
    </row>
    <row r="67">
      <c r="A67" s="16" t="n">
        <v>1767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AUT.G.COMERCIAL</t>
        </is>
      </c>
      <c r="F67" s="16" t="inlineStr">
        <is>
          <t>12/09/2025</t>
        </is>
      </c>
      <c r="G67" s="16" t="n">
        <v>1700028337</v>
      </c>
      <c r="H67" s="16" t="inlineStr">
        <is>
          <t>Nota</t>
        </is>
      </c>
      <c r="I67" s="16" t="inlineStr">
        <is>
          <t>08/09/2025</t>
        </is>
      </c>
      <c r="J67" s="16" t="n">
        <v>0</v>
      </c>
      <c r="K67" s="17" t="n">
        <v>481837</v>
      </c>
      <c r="L67" s="16" t="inlineStr">
        <is>
          <t>Cota</t>
        </is>
      </c>
      <c r="M67" s="16" t="inlineStr">
        <is>
          <t>Dev.&gt;.a.30.dias.en.CEDI.8_Sep_</t>
        </is>
      </c>
      <c r="N67" s="18">
        <f>+M67</f>
        <v/>
      </c>
      <c r="O67" s="18" t="inlineStr">
        <is>
          <t xml:space="preserve">COL </t>
        </is>
      </c>
    </row>
    <row r="68">
      <c r="K68" s="17">
        <f>SUBTOTAL(9,K3:K67)</f>
        <v/>
      </c>
      <c r="N68" s="18">
        <f>+M68</f>
        <v/>
      </c>
    </row>
    <row r="69">
      <c r="K69" s="17">
        <f>+K68*2%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2025-09-25T20:15:24Z</dcterms:created>
  <dcterms:modified xsi:type="dcterms:W3CDTF">2025-09-25T20:15:24Z</dcterms:modified>
</cp:coreProperties>
</file>