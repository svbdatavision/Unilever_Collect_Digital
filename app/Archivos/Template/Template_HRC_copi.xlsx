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Remitta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8">
    <font>
      <name val="Calibri"/>
      <family val="2"/>
      <color theme="1"/>
      <sz val="11"/>
      <scheme val="minor"/>
    </font>
    <font>
      <b val="1"/>
    </font>
    <font>
      <color rgb="00FFFFFF"/>
    </font>
    <font>
      <color rgb="00000000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color rgb="FF000000"/>
      <sz val="11"/>
    </font>
    <font>
      <name val="Calibri"/>
      <family val="2"/>
      <color rgb="FF000000"/>
      <sz val="11"/>
    </font>
  </fonts>
  <fills count="8">
    <fill>
      <patternFill/>
    </fill>
    <fill>
      <patternFill patternType="gray125"/>
    </fill>
    <fill>
      <patternFill patternType="solid">
        <fgColor rgb="00002366"/>
        <bgColor rgb="00002366"/>
      </patternFill>
    </fill>
    <fill>
      <patternFill patternType="solid">
        <fgColor rgb="001E90FF"/>
        <bgColor rgb="001E90FF"/>
      </patternFill>
    </fill>
    <fill>
      <patternFill patternType="solid">
        <fgColor rgb="00FFFF00"/>
        <bgColor rgb="00FFFF00"/>
      </patternFill>
    </fill>
    <fill>
      <patternFill patternType="solid">
        <fgColor rgb="FF5DADE2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0" pivotButton="0" quotePrefix="0" xfId="0"/>
    <xf numFmtId="0" fontId="3" fillId="4" borderId="0" pivotButton="0" quotePrefix="0" xfId="0"/>
    <xf numFmtId="0" fontId="2" fillId="3" borderId="0" pivotButton="0" quotePrefix="0" xfId="0"/>
    <xf numFmtId="4" fontId="2" fillId="3" borderId="0" pivotButton="0" quotePrefix="0" xfId="0"/>
    <xf numFmtId="4" fontId="0" fillId="0" borderId="0" pivotButton="0" quotePrefix="0" xfId="0"/>
    <xf numFmtId="49" fontId="2" fillId="2" borderId="1" applyAlignment="1" pivotButton="0" quotePrefix="0" xfId="0">
      <alignment horizontal="center" vertical="center"/>
    </xf>
    <xf numFmtId="4" fontId="2" fillId="2" borderId="1" applyAlignment="1" pivotButton="0" quotePrefix="0" xfId="0">
      <alignment horizontal="center" vertical="top"/>
    </xf>
    <xf numFmtId="49" fontId="2" fillId="2" borderId="1" applyAlignment="1" pivotButton="0" quotePrefix="0" xfId="0">
      <alignment horizontal="center" vertical="top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4" fillId="5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6" borderId="0" pivotButton="0" quotePrefix="0" xfId="0"/>
    <xf numFmtId="0" fontId="5" fillId="7" borderId="0" pivotButton="0" quotePrefix="0" xfId="0"/>
    <xf numFmtId="0" fontId="6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6" fillId="6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0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3" customWidth="1" min="3" max="3"/>
    <col width="32" customWidth="1" min="4" max="4"/>
    <col width="20" customWidth="1" min="5" max="5"/>
    <col width="19" customWidth="1" min="6" max="6"/>
    <col width="22" customWidth="1" min="7" max="7"/>
    <col width="19" customWidth="1" min="8" max="8"/>
    <col width="76" customWidth="1" min="9" max="9"/>
  </cols>
  <sheetData>
    <row r="1"/>
    <row r="2">
      <c r="C2" t="inlineStr">
        <is>
          <t>Desglose de Pago</t>
        </is>
      </c>
      <c r="G2" s="2" t="inlineStr">
        <is>
          <t>REFERENCIA DE PAGO</t>
        </is>
      </c>
      <c r="H2" s="3" t="inlineStr">
        <is>
          <t>Pagado</t>
        </is>
      </c>
    </row>
    <row r="3"/>
    <row r="4">
      <c r="C4" s="4" t="inlineStr">
        <is>
          <t>CAMPOS NO EDITABLES</t>
        </is>
      </c>
    </row>
    <row r="5"/>
    <row r="6">
      <c r="C6" s="2" t="inlineStr">
        <is>
          <t>Cliente</t>
        </is>
      </c>
      <c r="D6" s="4" t="inlineStr">
        <is>
          <t>COOP NAC DE DROG DETAL COPIDRO</t>
        </is>
      </c>
      <c r="F6" s="2" t="inlineStr">
        <is>
          <t>TOTAL s/ BANCOS</t>
        </is>
      </c>
      <c r="G6" s="5" t="n">
        <v>-9498098902.02</v>
      </c>
    </row>
    <row r="7">
      <c r="C7" s="2" t="n"/>
      <c r="D7" s="4" t="n"/>
      <c r="F7" s="2" t="inlineStr">
        <is>
          <t>TOTAL s/ DETALLE</t>
        </is>
      </c>
      <c r="G7" s="5" t="n">
        <v>-9498098902.02</v>
      </c>
    </row>
    <row r="8">
      <c r="C8" s="2" t="inlineStr">
        <is>
          <t>Codigo de Cliente</t>
        </is>
      </c>
      <c r="D8" s="4" t="n">
        <v>10267298</v>
      </c>
      <c r="F8" s="2" t="inlineStr">
        <is>
          <t>DIFERENCIA</t>
        </is>
      </c>
      <c r="G8" s="5" t="n">
        <v>0</v>
      </c>
    </row>
    <row r="9"/>
    <row r="10"/>
    <row r="11">
      <c r="C11" s="2" t="inlineStr">
        <is>
          <t>Referencia</t>
        </is>
      </c>
      <c r="D11" s="2" t="inlineStr">
        <is>
          <t>Fecha</t>
        </is>
      </c>
      <c r="E11" s="2" t="inlineStr">
        <is>
          <t>Método de Pago</t>
        </is>
      </c>
      <c r="F11" s="2" t="inlineStr">
        <is>
          <t>Valor</t>
        </is>
      </c>
    </row>
    <row r="12">
      <c r="C12" t="inlineStr">
        <is>
          <t>Pagado</t>
        </is>
      </c>
      <c r="D12" t="inlineStr">
        <is>
          <t>9/24/25</t>
        </is>
      </c>
      <c r="E12" t="inlineStr">
        <is>
          <t>Transferencia</t>
        </is>
      </c>
      <c r="F12" s="6" t="n">
        <v>-9498098902.02</v>
      </c>
    </row>
    <row r="13"/>
    <row r="14"/>
    <row r="15"/>
    <row r="16"/>
    <row r="17"/>
    <row r="18">
      <c r="C18" s="7" t="inlineStr">
        <is>
          <t>Tipo de Documento</t>
        </is>
      </c>
      <c r="D18" s="7" t="inlineStr">
        <is>
          <t>Referencia / Factura</t>
        </is>
      </c>
      <c r="E18" s="8" t="inlineStr">
        <is>
          <t>Importe de factura</t>
        </is>
      </c>
      <c r="F18" s="7" t="inlineStr">
        <is>
          <t>Descuento</t>
        </is>
      </c>
      <c r="G18" s="7" t="inlineStr">
        <is>
          <t>Motivo del descuento</t>
        </is>
      </c>
      <c r="H18" s="8" t="inlineStr">
        <is>
          <t>Pago Neto</t>
        </is>
      </c>
      <c r="I18" s="9" t="inlineStr">
        <is>
          <t>Comentarios</t>
        </is>
      </c>
    </row>
    <row r="19">
      <c r="C19" s="10" t="inlineStr">
        <is>
          <t>Traslado Notas  Deudor acreedor</t>
        </is>
      </c>
      <c r="D19" s="10" t="inlineStr">
        <is>
          <t>TR DEUDOR</t>
        </is>
      </c>
      <c r="E19" s="6" t="n">
        <v>357000</v>
      </c>
      <c r="F19" s="10" t="inlineStr">
        <is>
          <t>FACT PROVEEDOR</t>
        </is>
      </c>
      <c r="G19" s="10" t="inlineStr">
        <is>
          <t>CSB</t>
        </is>
      </c>
      <c r="H19" s="6" t="n">
        <v>357000</v>
      </c>
      <c r="I19" s="11" t="inlineStr">
        <is>
          <t>FACT PROVEEDOR TR DEUDOR TR DEUDOR FACT 36164691</t>
        </is>
      </c>
    </row>
    <row r="20">
      <c r="C20" s="10" t="inlineStr">
        <is>
          <t>Reduc Factura Compra</t>
        </is>
      </c>
      <c r="D20" s="10" t="inlineStr">
        <is>
          <t>PMP1256445</t>
        </is>
      </c>
      <c r="E20" s="6" t="n">
        <v>24873954</v>
      </c>
      <c r="F20" s="10" t="inlineStr">
        <is>
          <t>DESCUENTO</t>
        </is>
      </c>
      <c r="G20" s="10" t="inlineStr">
        <is>
          <t>987</t>
        </is>
      </c>
      <c r="H20" s="6" t="n">
        <v>24873954</v>
      </c>
      <c r="I20" s="11" t="inlineStr">
        <is>
          <t>Saldo FC PMP1256445</t>
        </is>
      </c>
    </row>
    <row r="21">
      <c r="C21" s="10" t="inlineStr">
        <is>
          <t>Reduc Factura Compra</t>
        </is>
      </c>
      <c r="D21" s="10" t="inlineStr">
        <is>
          <t>PMP1271097</t>
        </is>
      </c>
      <c r="E21" s="6" t="n">
        <v>22736918</v>
      </c>
      <c r="F21" s="10" t="inlineStr">
        <is>
          <t>DESCUENTO</t>
        </is>
      </c>
      <c r="G21" s="10" t="inlineStr">
        <is>
          <t>987</t>
        </is>
      </c>
      <c r="H21" s="6" t="n">
        <v>22736918</v>
      </c>
      <c r="I21" s="11" t="inlineStr">
        <is>
          <t>Saldo FC PMP1271097</t>
        </is>
      </c>
    </row>
    <row r="22">
      <c r="C22" s="10" t="inlineStr">
        <is>
          <t>Reduc Factura Compra</t>
        </is>
      </c>
      <c r="D22" s="10" t="inlineStr">
        <is>
          <t>PMP1269413</t>
        </is>
      </c>
      <c r="E22" s="6" t="n">
        <v>1335894</v>
      </c>
      <c r="F22" s="10" t="inlineStr">
        <is>
          <t>DESCUENTO</t>
        </is>
      </c>
      <c r="G22" s="10" t="inlineStr">
        <is>
          <t>987</t>
        </is>
      </c>
      <c r="H22" s="6" t="n">
        <v>1335894</v>
      </c>
      <c r="I22" s="11" t="inlineStr">
        <is>
          <t>Saldo FC PMP1269413</t>
        </is>
      </c>
    </row>
    <row r="23">
      <c r="C23" s="10" t="inlineStr">
        <is>
          <t>Reduc Factura Compra</t>
        </is>
      </c>
      <c r="D23" s="10" t="inlineStr">
        <is>
          <t>PMP1269223</t>
        </is>
      </c>
      <c r="E23" s="6" t="n">
        <v>3099274</v>
      </c>
      <c r="F23" s="10" t="inlineStr">
        <is>
          <t>DESCUENTO</t>
        </is>
      </c>
      <c r="G23" s="10" t="inlineStr">
        <is>
          <t>987</t>
        </is>
      </c>
      <c r="H23" s="6" t="n">
        <v>3099274</v>
      </c>
      <c r="I23" s="11" t="inlineStr">
        <is>
          <t>Saldo FC PMP1269223</t>
        </is>
      </c>
    </row>
    <row r="24">
      <c r="C24" s="10" t="inlineStr">
        <is>
          <t>Reduc Factura Compra</t>
        </is>
      </c>
      <c r="D24" s="10" t="inlineStr">
        <is>
          <t>PMP1265901</t>
        </is>
      </c>
      <c r="E24" s="6" t="n">
        <v>358815</v>
      </c>
      <c r="F24" s="10" t="inlineStr">
        <is>
          <t>DESCUENTO</t>
        </is>
      </c>
      <c r="G24" s="10" t="inlineStr">
        <is>
          <t>987</t>
        </is>
      </c>
      <c r="H24" s="6" t="n">
        <v>358815</v>
      </c>
      <c r="I24" s="11" t="inlineStr">
        <is>
          <t>Saldo FC PMP1265901</t>
        </is>
      </c>
    </row>
    <row r="25">
      <c r="C25" s="10" t="inlineStr">
        <is>
          <t>Reduc Factura Compra</t>
        </is>
      </c>
      <c r="D25" s="10" t="inlineStr">
        <is>
          <t>PMP1269965</t>
        </is>
      </c>
      <c r="E25" s="6" t="n">
        <v>212749</v>
      </c>
      <c r="F25" s="10" t="inlineStr">
        <is>
          <t>DESCUENTO</t>
        </is>
      </c>
      <c r="G25" s="10" t="inlineStr">
        <is>
          <t>987</t>
        </is>
      </c>
      <c r="H25" s="6" t="n">
        <v>212749</v>
      </c>
      <c r="I25" s="11" t="inlineStr">
        <is>
          <t>Saldo FC PMP1269965</t>
        </is>
      </c>
    </row>
    <row r="26">
      <c r="C26" s="10" t="inlineStr">
        <is>
          <t>Reduc Factura Compra</t>
        </is>
      </c>
      <c r="D26" s="10" t="inlineStr">
        <is>
          <t>PMP1270595</t>
        </is>
      </c>
      <c r="E26" s="6" t="n">
        <v>1362612</v>
      </c>
      <c r="F26" s="10" t="inlineStr">
        <is>
          <t>DESCUENTO</t>
        </is>
      </c>
      <c r="G26" s="10" t="inlineStr">
        <is>
          <t>987</t>
        </is>
      </c>
      <c r="H26" s="6" t="n">
        <v>1362612</v>
      </c>
      <c r="I26" s="11" t="inlineStr">
        <is>
          <t>Saldo FC PMP1270595</t>
        </is>
      </c>
    </row>
    <row r="27">
      <c r="C27" s="10" t="inlineStr">
        <is>
          <t>Reduc Factura Compra</t>
        </is>
      </c>
      <c r="D27" s="10" t="inlineStr">
        <is>
          <t>PMP1270164</t>
        </is>
      </c>
      <c r="E27" s="6" t="n">
        <v>1041997</v>
      </c>
      <c r="F27" s="10" t="inlineStr">
        <is>
          <t>DESCUENTO</t>
        </is>
      </c>
      <c r="G27" s="10" t="inlineStr">
        <is>
          <t>987</t>
        </is>
      </c>
      <c r="H27" s="6" t="n">
        <v>1041997</v>
      </c>
      <c r="I27" s="11" t="inlineStr">
        <is>
          <t>Saldo FC PMP1270164</t>
        </is>
      </c>
    </row>
    <row r="28">
      <c r="C28" s="10" t="inlineStr">
        <is>
          <t>Reduc Factura Compra</t>
        </is>
      </c>
      <c r="D28" s="10" t="inlineStr">
        <is>
          <t>PMP1271958</t>
        </is>
      </c>
      <c r="E28" s="6" t="n">
        <v>343090</v>
      </c>
      <c r="F28" s="10" t="inlineStr">
        <is>
          <t>DESCUENTO</t>
        </is>
      </c>
      <c r="G28" s="10" t="inlineStr">
        <is>
          <t>987</t>
        </is>
      </c>
      <c r="H28" s="6" t="n">
        <v>343090</v>
      </c>
      <c r="I28" s="11" t="inlineStr">
        <is>
          <t>Saldo FC PMP1271958</t>
        </is>
      </c>
    </row>
    <row r="29">
      <c r="C29" s="10" t="inlineStr">
        <is>
          <t>Reduc Factura Compra</t>
        </is>
      </c>
      <c r="D29" s="10" t="inlineStr">
        <is>
          <t>PMP1274133</t>
        </is>
      </c>
      <c r="E29" s="6" t="n">
        <v>770149</v>
      </c>
      <c r="F29" s="10" t="inlineStr">
        <is>
          <t>DESCUENTO</t>
        </is>
      </c>
      <c r="G29" s="10" t="inlineStr">
        <is>
          <t>987</t>
        </is>
      </c>
      <c r="H29" s="6" t="n">
        <v>770149</v>
      </c>
      <c r="I29" s="11" t="inlineStr">
        <is>
          <t>Saldo FC PMP1274133</t>
        </is>
      </c>
    </row>
    <row r="30">
      <c r="C30" s="10" t="inlineStr">
        <is>
          <t>Reduc Factura Compra</t>
        </is>
      </c>
      <c r="D30" s="10" t="inlineStr">
        <is>
          <t>PMP1271054</t>
        </is>
      </c>
      <c r="E30" s="6" t="n">
        <v>168015</v>
      </c>
      <c r="F30" s="10" t="inlineStr">
        <is>
          <t>DESCUENTO</t>
        </is>
      </c>
      <c r="G30" s="10" t="inlineStr">
        <is>
          <t>987</t>
        </is>
      </c>
      <c r="H30" s="6" t="n">
        <v>168015</v>
      </c>
      <c r="I30" s="11" t="inlineStr">
        <is>
          <t>Saldo FC PMP1271054</t>
        </is>
      </c>
    </row>
    <row r="31">
      <c r="C31" s="10" t="inlineStr">
        <is>
          <t>Reduc Factura Compra</t>
        </is>
      </c>
      <c r="D31" s="10" t="inlineStr">
        <is>
          <t>PMP1270677</t>
        </is>
      </c>
      <c r="E31" s="6" t="n">
        <v>760975</v>
      </c>
      <c r="F31" s="10" t="inlineStr">
        <is>
          <t>DESCUENTO</t>
        </is>
      </c>
      <c r="G31" s="10" t="inlineStr">
        <is>
          <t>987</t>
        </is>
      </c>
      <c r="H31" s="6" t="n">
        <v>760975</v>
      </c>
      <c r="I31" s="11" t="inlineStr">
        <is>
          <t>Saldo FC PMP1270677</t>
        </is>
      </c>
    </row>
    <row r="32">
      <c r="C32" s="10" t="inlineStr">
        <is>
          <t>Reduc Factura Compra</t>
        </is>
      </c>
      <c r="D32" s="10" t="inlineStr">
        <is>
          <t>PMP1271668</t>
        </is>
      </c>
      <c r="E32" s="6" t="n">
        <v>66783</v>
      </c>
      <c r="F32" s="10" t="inlineStr">
        <is>
          <t>DESCUENTO</t>
        </is>
      </c>
      <c r="G32" s="10" t="inlineStr">
        <is>
          <t>987</t>
        </is>
      </c>
      <c r="H32" s="6" t="n">
        <v>66783</v>
      </c>
      <c r="I32" s="11" t="inlineStr">
        <is>
          <t>Saldo FC PMP1271668</t>
        </is>
      </c>
    </row>
    <row r="33">
      <c r="C33" s="10" t="inlineStr">
        <is>
          <t>Reduc Factura Compra</t>
        </is>
      </c>
      <c r="D33" s="10" t="inlineStr">
        <is>
          <t>PMP1271152</t>
        </is>
      </c>
      <c r="E33" s="6" t="n">
        <v>306520</v>
      </c>
      <c r="F33" s="10" t="inlineStr">
        <is>
          <t>DESCUENTO</t>
        </is>
      </c>
      <c r="G33" s="10" t="inlineStr">
        <is>
          <t>987</t>
        </is>
      </c>
      <c r="H33" s="6" t="n">
        <v>306520</v>
      </c>
      <c r="I33" s="11" t="inlineStr">
        <is>
          <t>Saldo FC PMP1271152</t>
        </is>
      </c>
    </row>
    <row r="34">
      <c r="C34" s="10" t="inlineStr">
        <is>
          <t>Reduc Factura Compra</t>
        </is>
      </c>
      <c r="D34" s="10" t="inlineStr">
        <is>
          <t>PMP1272330</t>
        </is>
      </c>
      <c r="E34" s="6" t="n">
        <v>2568741</v>
      </c>
      <c r="F34" s="10" t="inlineStr">
        <is>
          <t>DESCUENTO</t>
        </is>
      </c>
      <c r="G34" s="10" t="inlineStr">
        <is>
          <t>987</t>
        </is>
      </c>
      <c r="H34" s="6" t="n">
        <v>2568741</v>
      </c>
      <c r="I34" s="11" t="inlineStr">
        <is>
          <t>Saldo FC PMP1272330</t>
        </is>
      </c>
    </row>
    <row r="35">
      <c r="C35" s="10" t="inlineStr">
        <is>
          <t>Reduc Factura Compra</t>
        </is>
      </c>
      <c r="D35" s="10" t="inlineStr">
        <is>
          <t>PMP1258284</t>
        </is>
      </c>
      <c r="E35" s="6" t="n">
        <v>7736347</v>
      </c>
      <c r="F35" s="10" t="inlineStr">
        <is>
          <t>DESCUENTO</t>
        </is>
      </c>
      <c r="G35" s="10" t="inlineStr">
        <is>
          <t>987</t>
        </is>
      </c>
      <c r="H35" s="6" t="n">
        <v>7736347</v>
      </c>
      <c r="I35" s="11" t="inlineStr">
        <is>
          <t>Saldo FC PMP1258284</t>
        </is>
      </c>
    </row>
    <row r="36">
      <c r="C36" s="10" t="inlineStr">
        <is>
          <t>Reduc Factura Compra</t>
        </is>
      </c>
      <c r="D36" s="10" t="inlineStr">
        <is>
          <t>PMP1258285</t>
        </is>
      </c>
      <c r="E36" s="6" t="n">
        <v>5283496</v>
      </c>
      <c r="F36" s="10" t="inlineStr">
        <is>
          <t>DESCUENTO</t>
        </is>
      </c>
      <c r="G36" s="10" t="inlineStr">
        <is>
          <t>987</t>
        </is>
      </c>
      <c r="H36" s="6" t="n">
        <v>5283496</v>
      </c>
      <c r="I36" s="11" t="inlineStr">
        <is>
          <t>Saldo FC PMP1258285</t>
        </is>
      </c>
    </row>
    <row r="37">
      <c r="C37" s="10" t="inlineStr">
        <is>
          <t>Reduc Factura Compra</t>
        </is>
      </c>
      <c r="D37" s="10" t="inlineStr">
        <is>
          <t>PMP1259837</t>
        </is>
      </c>
      <c r="E37" s="6" t="n">
        <v>6474145</v>
      </c>
      <c r="F37" s="10" t="inlineStr">
        <is>
          <t>DESCUENTO</t>
        </is>
      </c>
      <c r="G37" s="10" t="inlineStr">
        <is>
          <t>987</t>
        </is>
      </c>
      <c r="H37" s="6" t="n">
        <v>6474145</v>
      </c>
      <c r="I37" s="11" t="inlineStr">
        <is>
          <t>Saldo FC PMP1259837</t>
        </is>
      </c>
    </row>
    <row r="38">
      <c r="C38" s="10" t="inlineStr">
        <is>
          <t>Reduc Factura Compra</t>
        </is>
      </c>
      <c r="D38" s="10" t="inlineStr">
        <is>
          <t>PMP1259836</t>
        </is>
      </c>
      <c r="E38" s="6" t="n">
        <v>10721231</v>
      </c>
      <c r="F38" s="10" t="inlineStr">
        <is>
          <t>DESCUENTO</t>
        </is>
      </c>
      <c r="G38" s="10" t="inlineStr">
        <is>
          <t>987</t>
        </is>
      </c>
      <c r="H38" s="6" t="n">
        <v>10721231</v>
      </c>
      <c r="I38" s="11" t="inlineStr">
        <is>
          <t>Saldo FC PMP1259836</t>
        </is>
      </c>
    </row>
    <row r="39">
      <c r="C39" s="10" t="inlineStr">
        <is>
          <t>Reduc Factura Compra</t>
        </is>
      </c>
      <c r="D39" s="10" t="inlineStr">
        <is>
          <t>PMP1258455</t>
        </is>
      </c>
      <c r="E39" s="6" t="n">
        <v>4836820</v>
      </c>
      <c r="F39" s="10" t="inlineStr">
        <is>
          <t>DESCUENTO</t>
        </is>
      </c>
      <c r="G39" s="10" t="inlineStr">
        <is>
          <t>987</t>
        </is>
      </c>
      <c r="H39" s="6" t="n">
        <v>4836820</v>
      </c>
      <c r="I39" s="11" t="inlineStr">
        <is>
          <t>Saldo FC PMP1258455</t>
        </is>
      </c>
    </row>
    <row r="40">
      <c r="C40" s="10" t="inlineStr">
        <is>
          <t>Reduc Factura Compra</t>
        </is>
      </c>
      <c r="D40" s="10" t="inlineStr">
        <is>
          <t>PMP1258456</t>
        </is>
      </c>
      <c r="E40" s="6" t="n">
        <v>4373534</v>
      </c>
      <c r="F40" s="10" t="inlineStr">
        <is>
          <t>DESCUENTO</t>
        </is>
      </c>
      <c r="G40" s="10" t="inlineStr">
        <is>
          <t>987</t>
        </is>
      </c>
      <c r="H40" s="6" t="n">
        <v>4373534</v>
      </c>
      <c r="I40" s="11" t="inlineStr">
        <is>
          <t>Saldo FC PMP1258456</t>
        </is>
      </c>
    </row>
    <row r="41">
      <c r="C41" s="10" t="inlineStr">
        <is>
          <t>Reduc Factura Compra</t>
        </is>
      </c>
      <c r="D41" s="10" t="inlineStr">
        <is>
          <t>PMP1258595</t>
        </is>
      </c>
      <c r="E41" s="6" t="n">
        <v>65166867</v>
      </c>
      <c r="F41" s="10" t="inlineStr">
        <is>
          <t>DESCUENTO</t>
        </is>
      </c>
      <c r="G41" s="10" t="inlineStr">
        <is>
          <t>987</t>
        </is>
      </c>
      <c r="H41" s="6" t="n">
        <v>65166867</v>
      </c>
      <c r="I41" s="11" t="inlineStr">
        <is>
          <t>Saldo FC PMP1258595</t>
        </is>
      </c>
    </row>
    <row r="42">
      <c r="C42" s="10" t="inlineStr">
        <is>
          <t>Reduc Factura Compra</t>
        </is>
      </c>
      <c r="D42" s="10" t="inlineStr">
        <is>
          <t>PMP1258594</t>
        </is>
      </c>
      <c r="E42" s="6" t="n">
        <v>30287097</v>
      </c>
      <c r="F42" s="10" t="inlineStr">
        <is>
          <t>DESCUENTO</t>
        </is>
      </c>
      <c r="G42" s="10" t="inlineStr">
        <is>
          <t>987</t>
        </is>
      </c>
      <c r="H42" s="6" t="n">
        <v>30287097</v>
      </c>
      <c r="I42" s="11" t="inlineStr">
        <is>
          <t>Saldo FC PMP1258594</t>
        </is>
      </c>
    </row>
    <row r="43">
      <c r="C43" s="10" t="inlineStr">
        <is>
          <t>Reduc Factura Compra</t>
        </is>
      </c>
      <c r="D43" s="10" t="inlineStr">
        <is>
          <t>PMP1258127</t>
        </is>
      </c>
      <c r="E43" s="6" t="n">
        <v>4018436</v>
      </c>
      <c r="F43" s="10" t="inlineStr">
        <is>
          <t>DESCUENTO</t>
        </is>
      </c>
      <c r="G43" s="10" t="inlineStr">
        <is>
          <t>987</t>
        </is>
      </c>
      <c r="H43" s="6" t="n">
        <v>4018436</v>
      </c>
      <c r="I43" s="11" t="inlineStr">
        <is>
          <t>Saldo FC PMP1258127</t>
        </is>
      </c>
    </row>
    <row r="44">
      <c r="C44" s="10" t="inlineStr">
        <is>
          <t>Reduc Factura Compra</t>
        </is>
      </c>
      <c r="D44" s="10" t="inlineStr">
        <is>
          <t>PMP1258126</t>
        </is>
      </c>
      <c r="E44" s="6" t="n">
        <v>7715257</v>
      </c>
      <c r="F44" s="10" t="inlineStr">
        <is>
          <t>DESCUENTO</t>
        </is>
      </c>
      <c r="G44" s="10" t="inlineStr">
        <is>
          <t>987</t>
        </is>
      </c>
      <c r="H44" s="6" t="n">
        <v>7715257</v>
      </c>
      <c r="I44" s="11" t="inlineStr">
        <is>
          <t>Saldo FC PMP1258126</t>
        </is>
      </c>
    </row>
    <row r="45">
      <c r="C45" s="10" t="inlineStr">
        <is>
          <t>Reduc Factura Compra</t>
        </is>
      </c>
      <c r="D45" s="10" t="inlineStr">
        <is>
          <t>PMP1258180</t>
        </is>
      </c>
      <c r="E45" s="6" t="n">
        <v>2887142</v>
      </c>
      <c r="F45" s="10" t="inlineStr">
        <is>
          <t>DESCUENTO</t>
        </is>
      </c>
      <c r="G45" s="10" t="inlineStr">
        <is>
          <t>987</t>
        </is>
      </c>
      <c r="H45" s="6" t="n">
        <v>2887142</v>
      </c>
      <c r="I45" s="11" t="inlineStr">
        <is>
          <t>Saldo FC PMP1258180</t>
        </is>
      </c>
    </row>
    <row r="46">
      <c r="C46" s="10" t="inlineStr">
        <is>
          <t>Reduc Factura Compra</t>
        </is>
      </c>
      <c r="D46" s="10" t="inlineStr">
        <is>
          <t>PMP1258179</t>
        </is>
      </c>
      <c r="E46" s="6" t="n">
        <v>8036870</v>
      </c>
      <c r="F46" s="10" t="inlineStr">
        <is>
          <t>DESCUENTO</t>
        </is>
      </c>
      <c r="G46" s="10" t="inlineStr">
        <is>
          <t>987</t>
        </is>
      </c>
      <c r="H46" s="6" t="n">
        <v>8036870</v>
      </c>
      <c r="I46" s="11" t="inlineStr">
        <is>
          <t>Saldo FC PMP1258179</t>
        </is>
      </c>
    </row>
    <row r="47">
      <c r="C47" s="10" t="inlineStr">
        <is>
          <t>Reduc Factura Compra</t>
        </is>
      </c>
      <c r="D47" s="10" t="inlineStr">
        <is>
          <t>PMP1279350</t>
        </is>
      </c>
      <c r="E47" s="6" t="n">
        <v>34678</v>
      </c>
      <c r="F47" s="10" t="inlineStr">
        <is>
          <t>DESCUENTO</t>
        </is>
      </c>
      <c r="G47" s="10" t="inlineStr">
        <is>
          <t>987</t>
        </is>
      </c>
      <c r="H47" s="6" t="n">
        <v>34678</v>
      </c>
      <c r="I47" s="11" t="inlineStr">
        <is>
          <t>Saldo FC PMP1279350</t>
        </is>
      </c>
    </row>
    <row r="48">
      <c r="C48" s="10" t="inlineStr">
        <is>
          <t>Reduc Factura Compra</t>
        </is>
      </c>
      <c r="D48" s="10" t="inlineStr">
        <is>
          <t>PMP1277186</t>
        </is>
      </c>
      <c r="E48" s="6" t="n">
        <v>55591</v>
      </c>
      <c r="F48" s="10" t="inlineStr">
        <is>
          <t>DESCUENTO</t>
        </is>
      </c>
      <c r="G48" s="10" t="inlineStr">
        <is>
          <t>987</t>
        </is>
      </c>
      <c r="H48" s="6" t="n">
        <v>55591</v>
      </c>
      <c r="I48" s="11" t="inlineStr">
        <is>
          <t>Saldo FC PMP1277186</t>
        </is>
      </c>
    </row>
    <row r="49">
      <c r="C49" s="10" t="inlineStr">
        <is>
          <t>Reduc Factura Compra</t>
        </is>
      </c>
      <c r="D49" s="10" t="inlineStr">
        <is>
          <t>PMP1276954</t>
        </is>
      </c>
      <c r="E49" s="6" t="n">
        <v>46962</v>
      </c>
      <c r="F49" s="10" t="inlineStr">
        <is>
          <t>DESCUENTO</t>
        </is>
      </c>
      <c r="G49" s="10" t="inlineStr">
        <is>
          <t>987</t>
        </is>
      </c>
      <c r="H49" s="6" t="n">
        <v>46962</v>
      </c>
      <c r="I49" s="11" t="inlineStr">
        <is>
          <t>Saldo FC PMP1276954</t>
        </is>
      </c>
    </row>
    <row r="50">
      <c r="C50" s="10" t="inlineStr">
        <is>
          <t>Reduc Factura Compra</t>
        </is>
      </c>
      <c r="D50" s="10" t="inlineStr">
        <is>
          <t>PMP1276991</t>
        </is>
      </c>
      <c r="E50" s="6" t="n">
        <v>375295</v>
      </c>
      <c r="F50" s="10" t="inlineStr">
        <is>
          <t>DESCUENTO</t>
        </is>
      </c>
      <c r="G50" s="10" t="inlineStr">
        <is>
          <t>987</t>
        </is>
      </c>
      <c r="H50" s="6" t="n">
        <v>375295</v>
      </c>
      <c r="I50" s="11" t="inlineStr">
        <is>
          <t>Saldo FC PMP1276991</t>
        </is>
      </c>
    </row>
    <row r="51">
      <c r="C51" s="10" t="inlineStr">
        <is>
          <t>Reduc Factura Compra</t>
        </is>
      </c>
      <c r="D51" s="10" t="inlineStr">
        <is>
          <t>PMP1277137</t>
        </is>
      </c>
      <c r="E51" s="6" t="n">
        <v>973783</v>
      </c>
      <c r="F51" s="10" t="inlineStr">
        <is>
          <t>DESCUENTO</t>
        </is>
      </c>
      <c r="G51" s="10" t="inlineStr">
        <is>
          <t>987</t>
        </is>
      </c>
      <c r="H51" s="6" t="n">
        <v>973783</v>
      </c>
      <c r="I51" s="11" t="inlineStr">
        <is>
          <t>Saldo FC PMP1277137</t>
        </is>
      </c>
    </row>
    <row r="52">
      <c r="C52" s="10" t="inlineStr">
        <is>
          <t>Reduc Factura Compra</t>
        </is>
      </c>
      <c r="D52" s="10" t="inlineStr">
        <is>
          <t>PMP1273878</t>
        </is>
      </c>
      <c r="E52" s="6" t="n">
        <v>1267188</v>
      </c>
      <c r="F52" s="10" t="inlineStr">
        <is>
          <t>DESCUENTO</t>
        </is>
      </c>
      <c r="G52" s="10" t="inlineStr">
        <is>
          <t>987</t>
        </is>
      </c>
      <c r="H52" s="6" t="n">
        <v>1267188</v>
      </c>
      <c r="I52" s="11" t="inlineStr">
        <is>
          <t>Saldo FC PMP1273878</t>
        </is>
      </c>
    </row>
    <row r="53">
      <c r="C53" s="10" t="inlineStr">
        <is>
          <t>Reduc Factura Compra</t>
        </is>
      </c>
      <c r="D53" s="10" t="inlineStr">
        <is>
          <t>PMP1273390</t>
        </is>
      </c>
      <c r="E53" s="6" t="n">
        <v>729845</v>
      </c>
      <c r="F53" s="10" t="inlineStr">
        <is>
          <t>DESCUENTO</t>
        </is>
      </c>
      <c r="G53" s="10" t="inlineStr">
        <is>
          <t>987</t>
        </is>
      </c>
      <c r="H53" s="6" t="n">
        <v>729845</v>
      </c>
      <c r="I53" s="11" t="inlineStr">
        <is>
          <t>Saldo FC PMP1273390</t>
        </is>
      </c>
    </row>
    <row r="54">
      <c r="C54" s="10" t="inlineStr">
        <is>
          <t>Reduc Factura Compra</t>
        </is>
      </c>
      <c r="D54" s="10" t="inlineStr">
        <is>
          <t>PMP1277204</t>
        </is>
      </c>
      <c r="E54" s="6" t="n">
        <v>155502</v>
      </c>
      <c r="F54" s="10" t="inlineStr">
        <is>
          <t>DESCUENTO</t>
        </is>
      </c>
      <c r="G54" s="10" t="inlineStr">
        <is>
          <t>987</t>
        </is>
      </c>
      <c r="H54" s="6" t="n">
        <v>155502</v>
      </c>
      <c r="I54" s="11" t="inlineStr">
        <is>
          <t>Saldo FC PMP1277204</t>
        </is>
      </c>
    </row>
    <row r="55">
      <c r="C55" s="10" t="inlineStr">
        <is>
          <t>Reduc Factura Compra</t>
        </is>
      </c>
      <c r="D55" s="10" t="inlineStr">
        <is>
          <t>PMP1256436</t>
        </is>
      </c>
      <c r="E55" s="6" t="n">
        <v>16429681</v>
      </c>
      <c r="F55" s="10" t="inlineStr">
        <is>
          <t>DESCUENTO</t>
        </is>
      </c>
      <c r="G55" s="10" t="inlineStr">
        <is>
          <t>987</t>
        </is>
      </c>
      <c r="H55" s="6" t="n">
        <v>16429681</v>
      </c>
      <c r="I55" s="11" t="inlineStr">
        <is>
          <t>Saldo FC PMP1256436</t>
        </is>
      </c>
    </row>
    <row r="56">
      <c r="C56" s="10" t="inlineStr">
        <is>
          <t>Reduc Factura Compra</t>
        </is>
      </c>
      <c r="D56" s="10" t="inlineStr">
        <is>
          <t>PMP1277185</t>
        </is>
      </c>
      <c r="E56" s="6" t="n">
        <v>15641</v>
      </c>
      <c r="F56" s="10" t="inlineStr">
        <is>
          <t>DESCUENTO</t>
        </is>
      </c>
      <c r="G56" s="10" t="inlineStr">
        <is>
          <t>987</t>
        </is>
      </c>
      <c r="H56" s="6" t="n">
        <v>15641</v>
      </c>
      <c r="I56" s="11" t="inlineStr">
        <is>
          <t>DESCUENTO PMP1277185 UNILEVER ANDINA COLOMBIA LTDA</t>
        </is>
      </c>
    </row>
    <row r="57">
      <c r="C57" s="10" t="inlineStr">
        <is>
          <t>Reduc Factura Compra</t>
        </is>
      </c>
      <c r="D57" s="10" t="inlineStr">
        <is>
          <t>PMP1277184</t>
        </is>
      </c>
      <c r="E57" s="6" t="n">
        <v>149985</v>
      </c>
      <c r="F57" s="10" t="inlineStr">
        <is>
          <t>DESCUENTO</t>
        </is>
      </c>
      <c r="G57" s="10" t="inlineStr">
        <is>
          <t>987</t>
        </is>
      </c>
      <c r="H57" s="6" t="n">
        <v>149985</v>
      </c>
      <c r="I57" s="11" t="inlineStr">
        <is>
          <t>Saldo FC PMP1277184</t>
        </is>
      </c>
    </row>
    <row r="58">
      <c r="C58" s="10" t="inlineStr">
        <is>
          <t>Reduc Factura Compra</t>
        </is>
      </c>
      <c r="D58" s="10" t="inlineStr">
        <is>
          <t>PMP1276953</t>
        </is>
      </c>
      <c r="E58" s="6" t="n">
        <v>56494</v>
      </c>
      <c r="F58" s="10" t="inlineStr">
        <is>
          <t>DESCUENTO</t>
        </is>
      </c>
      <c r="G58" s="10" t="inlineStr">
        <is>
          <t>987</t>
        </is>
      </c>
      <c r="H58" s="6" t="n">
        <v>56494</v>
      </c>
      <c r="I58" s="11" t="inlineStr">
        <is>
          <t>Saldo FC PMP1276953</t>
        </is>
      </c>
    </row>
    <row r="59">
      <c r="C59" s="10" t="inlineStr">
        <is>
          <t>Reduc Factura Compra</t>
        </is>
      </c>
      <c r="D59" s="10" t="inlineStr">
        <is>
          <t>PMP1276988</t>
        </is>
      </c>
      <c r="E59" s="6" t="n">
        <v>182382</v>
      </c>
      <c r="F59" s="10" t="inlineStr">
        <is>
          <t>DESCUENTO</t>
        </is>
      </c>
      <c r="G59" s="10" t="inlineStr">
        <is>
          <t>987</t>
        </is>
      </c>
      <c r="H59" s="6" t="n">
        <v>182382</v>
      </c>
      <c r="I59" s="11" t="inlineStr">
        <is>
          <t>Saldo FC PMP1276988</t>
        </is>
      </c>
    </row>
    <row r="60">
      <c r="C60" s="10" t="inlineStr">
        <is>
          <t>Reduc Factura Compra</t>
        </is>
      </c>
      <c r="D60" s="10" t="inlineStr">
        <is>
          <t>PMP1277142</t>
        </is>
      </c>
      <c r="E60" s="6" t="n">
        <v>1272672</v>
      </c>
      <c r="F60" s="10" t="inlineStr">
        <is>
          <t>DESCUENTO</t>
        </is>
      </c>
      <c r="G60" s="10" t="inlineStr">
        <is>
          <t>987</t>
        </is>
      </c>
      <c r="H60" s="6" t="n">
        <v>1272672</v>
      </c>
      <c r="I60" s="11" t="inlineStr">
        <is>
          <t>Saldo FC PMP1277142</t>
        </is>
      </c>
    </row>
    <row r="61">
      <c r="C61" s="10" t="inlineStr">
        <is>
          <t>Reduc Factura Compra</t>
        </is>
      </c>
      <c r="D61" s="10" t="inlineStr">
        <is>
          <t>PMP1277143</t>
        </is>
      </c>
      <c r="E61" s="6" t="n">
        <v>18833393</v>
      </c>
      <c r="F61" s="10" t="inlineStr">
        <is>
          <t>DESCUENTO</t>
        </is>
      </c>
      <c r="G61" s="10" t="inlineStr">
        <is>
          <t>987</t>
        </is>
      </c>
      <c r="H61" s="6" t="n">
        <v>18833393</v>
      </c>
      <c r="I61" s="11" t="inlineStr">
        <is>
          <t>Saldo FC PMP1277143</t>
        </is>
      </c>
    </row>
    <row r="62">
      <c r="C62" s="10" t="inlineStr">
        <is>
          <t>Reduc Factura Compra</t>
        </is>
      </c>
      <c r="D62" s="10" t="inlineStr">
        <is>
          <t>PMP1276990</t>
        </is>
      </c>
      <c r="E62" s="6" t="n">
        <v>538091</v>
      </c>
      <c r="F62" s="10" t="inlineStr">
        <is>
          <t>DESCUENTO</t>
        </is>
      </c>
      <c r="G62" s="10" t="inlineStr">
        <is>
          <t>987</t>
        </is>
      </c>
      <c r="H62" s="6" t="n">
        <v>538091</v>
      </c>
      <c r="I62" s="11" t="inlineStr">
        <is>
          <t>Saldo FC PMP1276990</t>
        </is>
      </c>
    </row>
    <row r="63">
      <c r="C63" s="10" t="inlineStr">
        <is>
          <t>Reduc Factura Compra</t>
        </is>
      </c>
      <c r="D63" s="10" t="inlineStr">
        <is>
          <t>PMP1276668</t>
        </is>
      </c>
      <c r="E63" s="6" t="n">
        <v>338713</v>
      </c>
      <c r="F63" s="10" t="inlineStr">
        <is>
          <t>DESCUENTO</t>
        </is>
      </c>
      <c r="G63" s="10" t="inlineStr">
        <is>
          <t>987</t>
        </is>
      </c>
      <c r="H63" s="6" t="n">
        <v>338713</v>
      </c>
      <c r="I63" s="11" t="inlineStr">
        <is>
          <t>Saldo FC PMP1276668</t>
        </is>
      </c>
    </row>
    <row r="64">
      <c r="C64" s="10" t="inlineStr">
        <is>
          <t>Reduc Factura Compra</t>
        </is>
      </c>
      <c r="D64" s="10" t="inlineStr">
        <is>
          <t>PMP1276666</t>
        </is>
      </c>
      <c r="E64" s="6" t="n">
        <v>116211</v>
      </c>
      <c r="F64" s="10" t="inlineStr">
        <is>
          <t>DESCUENTO</t>
        </is>
      </c>
      <c r="G64" s="10" t="inlineStr">
        <is>
          <t>987</t>
        </is>
      </c>
      <c r="H64" s="6" t="n">
        <v>116211</v>
      </c>
      <c r="I64" s="11" t="inlineStr">
        <is>
          <t>Saldo FC PMP1276666</t>
        </is>
      </c>
    </row>
    <row r="65">
      <c r="C65" s="10" t="inlineStr">
        <is>
          <t>Reduc Factura Compra</t>
        </is>
      </c>
      <c r="D65" s="10" t="inlineStr">
        <is>
          <t>PMP1277208</t>
        </is>
      </c>
      <c r="E65" s="6" t="n">
        <v>550068</v>
      </c>
      <c r="F65" s="10" t="inlineStr">
        <is>
          <t>DESCUENTO</t>
        </is>
      </c>
      <c r="G65" s="10" t="inlineStr">
        <is>
          <t>987</t>
        </is>
      </c>
      <c r="H65" s="6" t="n">
        <v>550068</v>
      </c>
      <c r="I65" s="11" t="inlineStr">
        <is>
          <t>Saldo FC PMP1277208</t>
        </is>
      </c>
    </row>
    <row r="66">
      <c r="C66" s="10" t="inlineStr">
        <is>
          <t>Reduc Factura Compra</t>
        </is>
      </c>
      <c r="D66" s="10" t="inlineStr">
        <is>
          <t>PMP1277203</t>
        </is>
      </c>
      <c r="E66" s="6" t="n">
        <v>203312</v>
      </c>
      <c r="F66" s="10" t="inlineStr">
        <is>
          <t>DESCUENTO</t>
        </is>
      </c>
      <c r="G66" s="10" t="inlineStr">
        <is>
          <t>987</t>
        </is>
      </c>
      <c r="H66" s="6" t="n">
        <v>203312</v>
      </c>
      <c r="I66" s="11" t="inlineStr">
        <is>
          <t>Saldo FC PMP1277203</t>
        </is>
      </c>
    </row>
    <row r="67">
      <c r="C67" s="10" t="inlineStr">
        <is>
          <t>Reduc Factura Compra</t>
        </is>
      </c>
      <c r="D67" s="10" t="inlineStr">
        <is>
          <t>PMP1273384</t>
        </is>
      </c>
      <c r="E67" s="6" t="n">
        <v>244644</v>
      </c>
      <c r="F67" s="10" t="inlineStr">
        <is>
          <t>DESCUENTO</t>
        </is>
      </c>
      <c r="G67" s="10" t="inlineStr">
        <is>
          <t>987</t>
        </is>
      </c>
      <c r="H67" s="6" t="n">
        <v>244644</v>
      </c>
      <c r="I67" s="11" t="inlineStr">
        <is>
          <t>Saldo FC PMP1273384</t>
        </is>
      </c>
    </row>
    <row r="68">
      <c r="C68" s="10" t="inlineStr">
        <is>
          <t>Reduc Factura Compra</t>
        </is>
      </c>
      <c r="D68" s="10" t="inlineStr">
        <is>
          <t>PMP1273387</t>
        </is>
      </c>
      <c r="E68" s="6" t="n">
        <v>191062</v>
      </c>
      <c r="F68" s="10" t="inlineStr">
        <is>
          <t>DESCUENTO</t>
        </is>
      </c>
      <c r="G68" s="10" t="inlineStr">
        <is>
          <t>987</t>
        </is>
      </c>
      <c r="H68" s="6" t="n">
        <v>191062</v>
      </c>
      <c r="I68" s="11" t="inlineStr">
        <is>
          <t>Saldo FC PMP1273387</t>
        </is>
      </c>
    </row>
    <row r="69">
      <c r="C69" s="10" t="inlineStr">
        <is>
          <t>Reduc Factura Compra</t>
        </is>
      </c>
      <c r="D69" s="10" t="inlineStr">
        <is>
          <t>PMP1273859</t>
        </is>
      </c>
      <c r="E69" s="6" t="n">
        <v>236208</v>
      </c>
      <c r="F69" s="10" t="inlineStr">
        <is>
          <t>DESCUENTO</t>
        </is>
      </c>
      <c r="G69" s="10" t="inlineStr">
        <is>
          <t>987</t>
        </is>
      </c>
      <c r="H69" s="6" t="n">
        <v>236208</v>
      </c>
      <c r="I69" s="11" t="inlineStr">
        <is>
          <t>Saldo FC PMP1273859</t>
        </is>
      </c>
    </row>
    <row r="70">
      <c r="C70" s="10" t="inlineStr">
        <is>
          <t>Reduc Factura Compra</t>
        </is>
      </c>
      <c r="D70" s="10" t="inlineStr">
        <is>
          <t>PMP1273595</t>
        </is>
      </c>
      <c r="E70" s="6" t="n">
        <v>1098</v>
      </c>
      <c r="F70" s="10" t="inlineStr">
        <is>
          <t>DESCUENTO</t>
        </is>
      </c>
      <c r="G70" s="10" t="inlineStr">
        <is>
          <t>987</t>
        </is>
      </c>
      <c r="H70" s="6" t="n">
        <v>1098</v>
      </c>
      <c r="I70" s="11" t="inlineStr">
        <is>
          <t>DESCUENTO PMP1273595 UNILEVER ANDINA COLOMBIA LTDA</t>
        </is>
      </c>
    </row>
    <row r="71">
      <c r="C71" s="10" t="inlineStr">
        <is>
          <t>Reduc Factura Compra</t>
        </is>
      </c>
      <c r="D71" s="10" t="inlineStr">
        <is>
          <t>PMP1273876</t>
        </is>
      </c>
      <c r="E71" s="6" t="n">
        <v>9860</v>
      </c>
      <c r="F71" s="10" t="inlineStr">
        <is>
          <t>DESCUENTO</t>
        </is>
      </c>
      <c r="G71" s="10" t="inlineStr">
        <is>
          <t>987</t>
        </is>
      </c>
      <c r="H71" s="6" t="n">
        <v>9860</v>
      </c>
      <c r="I71" s="11" t="inlineStr">
        <is>
          <t>DESCUENTO PMP1273876 UNILEVER ANDINA COLOMBIA LTDA // CONCILIACIÓN</t>
        </is>
      </c>
    </row>
    <row r="72">
      <c r="C72" s="10" t="inlineStr">
        <is>
          <t>Reduc Factura Compra</t>
        </is>
      </c>
      <c r="D72" s="10" t="inlineStr">
        <is>
          <t>PMP1273116</t>
        </is>
      </c>
      <c r="E72" s="6" t="n">
        <v>2332</v>
      </c>
      <c r="F72" s="10" t="inlineStr">
        <is>
          <t>DESCUENTO</t>
        </is>
      </c>
      <c r="G72" s="10" t="inlineStr">
        <is>
          <t>987</t>
        </is>
      </c>
      <c r="H72" s="6" t="n">
        <v>2332</v>
      </c>
      <c r="I72" s="11" t="inlineStr">
        <is>
          <t>DESCUENTO PMP1273116 UNILEVER ANDINA COLOMBIA LTDA/CONCILIACION</t>
        </is>
      </c>
    </row>
    <row r="73">
      <c r="C73" s="10" t="inlineStr">
        <is>
          <t>Reduc Factura Compra</t>
        </is>
      </c>
      <c r="D73" s="10" t="inlineStr">
        <is>
          <t>PMP1271669</t>
        </is>
      </c>
      <c r="E73" s="6" t="n">
        <v>15890</v>
      </c>
      <c r="F73" s="10" t="inlineStr">
        <is>
          <t>DESCUENTO</t>
        </is>
      </c>
      <c r="G73" s="10" t="inlineStr">
        <is>
          <t>987</t>
        </is>
      </c>
      <c r="H73" s="6" t="n">
        <v>15890</v>
      </c>
      <c r="I73" s="11" t="inlineStr">
        <is>
          <t>DESCUENTO PMP1271669 UNILEVER ANDINA COLOMBIA LTDA/CONCILIACION</t>
        </is>
      </c>
    </row>
    <row r="74">
      <c r="C74" s="10" t="inlineStr">
        <is>
          <t>Reduc Factura Compra</t>
        </is>
      </c>
      <c r="D74" s="10" t="inlineStr">
        <is>
          <t>PMP1271670</t>
        </is>
      </c>
      <c r="E74" s="6" t="n">
        <v>48558</v>
      </c>
      <c r="F74" s="10" t="inlineStr">
        <is>
          <t>DESCUENTO</t>
        </is>
      </c>
      <c r="G74" s="10" t="inlineStr">
        <is>
          <t>987</t>
        </is>
      </c>
      <c r="H74" s="6" t="n">
        <v>48558</v>
      </c>
      <c r="I74" s="11" t="inlineStr">
        <is>
          <t>Saldo FC PMP1271670</t>
        </is>
      </c>
    </row>
    <row r="75">
      <c r="C75" s="10" t="inlineStr">
        <is>
          <t>Reduc Factura Compra</t>
        </is>
      </c>
      <c r="D75" s="10" t="inlineStr">
        <is>
          <t>PMP1270675</t>
        </is>
      </c>
      <c r="E75" s="6" t="n">
        <v>275251</v>
      </c>
      <c r="F75" s="10" t="inlineStr">
        <is>
          <t>DESCUENTO</t>
        </is>
      </c>
      <c r="G75" s="10" t="inlineStr">
        <is>
          <t>987</t>
        </is>
      </c>
      <c r="H75" s="6" t="n">
        <v>275251</v>
      </c>
      <c r="I75" s="11" t="inlineStr">
        <is>
          <t>Saldo FC PMP1270675</t>
        </is>
      </c>
    </row>
    <row r="76">
      <c r="C76" s="10" t="inlineStr">
        <is>
          <t>Reduc Factura Compra</t>
        </is>
      </c>
      <c r="D76" s="10" t="inlineStr">
        <is>
          <t>PMP1270680</t>
        </is>
      </c>
      <c r="E76" s="6" t="n">
        <v>31283</v>
      </c>
      <c r="F76" s="10" t="inlineStr">
        <is>
          <t>DESCUENTO</t>
        </is>
      </c>
      <c r="G76" s="10" t="inlineStr">
        <is>
          <t>987</t>
        </is>
      </c>
      <c r="H76" s="6" t="n">
        <v>31283</v>
      </c>
      <c r="I76" s="11" t="inlineStr">
        <is>
          <t>Saldo FC PMP1270680</t>
        </is>
      </c>
    </row>
    <row r="77">
      <c r="C77" s="10" t="inlineStr">
        <is>
          <t>Reduc Factura Compra</t>
        </is>
      </c>
      <c r="D77" s="10" t="inlineStr">
        <is>
          <t>PMP1256434</t>
        </is>
      </c>
      <c r="E77" s="6" t="n">
        <v>5847973</v>
      </c>
      <c r="F77" s="10" t="inlineStr">
        <is>
          <t>DESCUENTO</t>
        </is>
      </c>
      <c r="G77" s="10" t="inlineStr">
        <is>
          <t>987</t>
        </is>
      </c>
      <c r="H77" s="6" t="n">
        <v>5847973</v>
      </c>
      <c r="I77" s="11" t="inlineStr">
        <is>
          <t>Saldo FC PMP1256434</t>
        </is>
      </c>
    </row>
    <row r="78">
      <c r="C78" s="10" t="inlineStr">
        <is>
          <t>Reduc Factura Compra</t>
        </is>
      </c>
      <c r="D78" s="10" t="inlineStr">
        <is>
          <t>PMP1280350</t>
        </is>
      </c>
      <c r="E78" s="6" t="n">
        <v>3451912</v>
      </c>
      <c r="F78" s="10" t="inlineStr">
        <is>
          <t>DESCUENTO</t>
        </is>
      </c>
      <c r="G78" s="10" t="inlineStr">
        <is>
          <t>987</t>
        </is>
      </c>
      <c r="H78" s="6" t="n">
        <v>3451912</v>
      </c>
      <c r="I78" s="11" t="inlineStr">
        <is>
          <t>Saldo FC PMP1280350</t>
        </is>
      </c>
    </row>
    <row r="79">
      <c r="C79" s="10" t="inlineStr">
        <is>
          <t>Reduc Factura Compra</t>
        </is>
      </c>
      <c r="D79" s="10" t="inlineStr">
        <is>
          <t>PMP1279355</t>
        </is>
      </c>
      <c r="E79" s="6" t="n">
        <v>1071719</v>
      </c>
      <c r="F79" s="10" t="inlineStr">
        <is>
          <t>DESCUENTO</t>
        </is>
      </c>
      <c r="G79" s="10" t="inlineStr">
        <is>
          <t>987</t>
        </is>
      </c>
      <c r="H79" s="6" t="n">
        <v>1071719</v>
      </c>
      <c r="I79" s="11" t="inlineStr">
        <is>
          <t>Saldo FC PMP1279355</t>
        </is>
      </c>
    </row>
    <row r="80">
      <c r="C80" s="10" t="inlineStr">
        <is>
          <t>Reduc Factura Compra</t>
        </is>
      </c>
      <c r="D80" s="10" t="inlineStr">
        <is>
          <t>PMP1273388</t>
        </is>
      </c>
      <c r="E80" s="6" t="n">
        <v>182351</v>
      </c>
      <c r="F80" s="10" t="inlineStr">
        <is>
          <t>DESCUENTO</t>
        </is>
      </c>
      <c r="G80" s="10" t="inlineStr">
        <is>
          <t>987</t>
        </is>
      </c>
      <c r="H80" s="6" t="n">
        <v>182351</v>
      </c>
      <c r="I80" s="11" t="inlineStr">
        <is>
          <t>Saldo FC PMP1273388</t>
        </is>
      </c>
    </row>
    <row r="81">
      <c r="C81" s="10" t="inlineStr">
        <is>
          <t>Reduc Factura Compra</t>
        </is>
      </c>
      <c r="D81" s="10" t="inlineStr">
        <is>
          <t>PMP1273879</t>
        </is>
      </c>
      <c r="E81" s="6" t="n">
        <v>365312</v>
      </c>
      <c r="F81" s="10" t="inlineStr">
        <is>
          <t>DESCUENTO</t>
        </is>
      </c>
      <c r="G81" s="10" t="inlineStr">
        <is>
          <t>987</t>
        </is>
      </c>
      <c r="H81" s="6" t="n">
        <v>365312</v>
      </c>
      <c r="I81" s="11" t="inlineStr">
        <is>
          <t>Saldo FC PMP1273879</t>
        </is>
      </c>
    </row>
    <row r="82">
      <c r="C82" s="10" t="inlineStr">
        <is>
          <t>Reduc Factura Compra</t>
        </is>
      </c>
      <c r="D82" s="10" t="inlineStr">
        <is>
          <t>PMP1270676</t>
        </is>
      </c>
      <c r="E82" s="6" t="n">
        <v>255171</v>
      </c>
      <c r="F82" s="10" t="inlineStr">
        <is>
          <t>DESCUENTO</t>
        </is>
      </c>
      <c r="G82" s="10" t="inlineStr">
        <is>
          <t>987</t>
        </is>
      </c>
      <c r="H82" s="6" t="n">
        <v>255171</v>
      </c>
      <c r="I82" s="11" t="inlineStr">
        <is>
          <t>Saldo FC PMP1270676</t>
        </is>
      </c>
    </row>
    <row r="83">
      <c r="C83" s="10" t="inlineStr">
        <is>
          <t>Reduc Factura Compra</t>
        </is>
      </c>
      <c r="D83" s="10" t="inlineStr">
        <is>
          <t>PMP1271665</t>
        </is>
      </c>
      <c r="E83" s="6" t="n">
        <v>1164516</v>
      </c>
      <c r="F83" s="10" t="inlineStr">
        <is>
          <t>DESCUENTO</t>
        </is>
      </c>
      <c r="G83" s="10" t="inlineStr">
        <is>
          <t>987</t>
        </is>
      </c>
      <c r="H83" s="6" t="n">
        <v>1164516</v>
      </c>
      <c r="I83" s="11" t="inlineStr">
        <is>
          <t>Saldo FC PMP1271665</t>
        </is>
      </c>
    </row>
    <row r="84">
      <c r="C84" s="10" t="inlineStr">
        <is>
          <t>Reduc Factura Compra</t>
        </is>
      </c>
      <c r="D84" s="10" t="inlineStr">
        <is>
          <t>PMP1256437</t>
        </is>
      </c>
      <c r="E84" s="6" t="n">
        <v>16458858</v>
      </c>
      <c r="F84" s="10" t="inlineStr">
        <is>
          <t>DESCUENTO</t>
        </is>
      </c>
      <c r="G84" s="10" t="inlineStr">
        <is>
          <t>987</t>
        </is>
      </c>
      <c r="H84" s="6" t="n">
        <v>16458858</v>
      </c>
      <c r="I84" s="11" t="inlineStr">
        <is>
          <t>Saldo FC PMP1256437</t>
        </is>
      </c>
    </row>
    <row r="85">
      <c r="C85" s="10" t="inlineStr">
        <is>
          <t>Reduc Factura Compra</t>
        </is>
      </c>
      <c r="D85" s="10" t="inlineStr">
        <is>
          <t>PMP1276671</t>
        </is>
      </c>
      <c r="E85" s="6" t="n">
        <v>128471</v>
      </c>
      <c r="F85" s="10" t="inlineStr">
        <is>
          <t>DESCUENTO</t>
        </is>
      </c>
      <c r="G85" s="10" t="inlineStr">
        <is>
          <t>987</t>
        </is>
      </c>
      <c r="H85" s="6" t="n">
        <v>128471</v>
      </c>
      <c r="I85" s="11" t="inlineStr">
        <is>
          <t>Saldo FC PMP1276671</t>
        </is>
      </c>
    </row>
    <row r="86">
      <c r="C86" s="10" t="inlineStr">
        <is>
          <t>Reduc Factura Compra</t>
        </is>
      </c>
      <c r="D86" s="10" t="inlineStr">
        <is>
          <t>PMP1273112</t>
        </is>
      </c>
      <c r="E86" s="6" t="n">
        <v>98733</v>
      </c>
      <c r="F86" s="10" t="inlineStr">
        <is>
          <t>DESCUENTO</t>
        </is>
      </c>
      <c r="G86" s="10" t="inlineStr">
        <is>
          <t>987</t>
        </is>
      </c>
      <c r="H86" s="6" t="n">
        <v>98733</v>
      </c>
      <c r="I86" s="11" t="inlineStr">
        <is>
          <t>Saldo FC PMP1273112</t>
        </is>
      </c>
    </row>
    <row r="87">
      <c r="C87" s="10" t="inlineStr">
        <is>
          <t>Reduc Factura Compra</t>
        </is>
      </c>
      <c r="D87" s="10" t="inlineStr">
        <is>
          <t>PMP1271666</t>
        </is>
      </c>
      <c r="E87" s="6" t="n">
        <v>45804</v>
      </c>
      <c r="F87" s="10" t="inlineStr">
        <is>
          <t>DESCUENTO</t>
        </is>
      </c>
      <c r="G87" s="10" t="inlineStr">
        <is>
          <t>987</t>
        </is>
      </c>
      <c r="H87" s="6" t="n">
        <v>45804</v>
      </c>
      <c r="I87" s="11" t="inlineStr">
        <is>
          <t>Saldo FC PMP1271666</t>
        </is>
      </c>
    </row>
    <row r="88">
      <c r="C88" s="10" t="inlineStr">
        <is>
          <t>Reduc Factura Compra</t>
        </is>
      </c>
      <c r="D88" s="10" t="inlineStr">
        <is>
          <t>PMP1276670</t>
        </is>
      </c>
      <c r="E88" s="6" t="n">
        <v>4956</v>
      </c>
      <c r="F88" s="10" t="inlineStr">
        <is>
          <t>DESCUENTO</t>
        </is>
      </c>
      <c r="G88" s="10" t="inlineStr">
        <is>
          <t>987</t>
        </is>
      </c>
      <c r="H88" s="6" t="n">
        <v>4956</v>
      </c>
      <c r="I88" s="11" t="inlineStr">
        <is>
          <t xml:space="preserve">DESCUENTO PMP1276670 </t>
        </is>
      </c>
    </row>
    <row r="89">
      <c r="C89" s="10" t="inlineStr">
        <is>
          <t>Reduc Factura Compra</t>
        </is>
      </c>
      <c r="D89" s="10" t="inlineStr">
        <is>
          <t>PMP1270679</t>
        </is>
      </c>
      <c r="E89" s="6" t="n">
        <v>77845</v>
      </c>
      <c r="F89" s="10" t="inlineStr">
        <is>
          <t>DESCUENTO</t>
        </is>
      </c>
      <c r="G89" s="10" t="inlineStr">
        <is>
          <t>987</t>
        </is>
      </c>
      <c r="H89" s="6" t="n">
        <v>77845</v>
      </c>
      <c r="I89" s="11" t="inlineStr">
        <is>
          <t>Saldo FC PMP1270679</t>
        </is>
      </c>
    </row>
    <row r="90">
      <c r="C90" s="10" t="inlineStr">
        <is>
          <t>Reduc Factura Compra</t>
        </is>
      </c>
      <c r="D90" s="10" t="inlineStr">
        <is>
          <t>PMP1276958</t>
        </is>
      </c>
      <c r="E90" s="6" t="n">
        <v>115147</v>
      </c>
      <c r="F90" s="10" t="inlineStr">
        <is>
          <t>DESCUENTO</t>
        </is>
      </c>
      <c r="G90" s="10" t="inlineStr">
        <is>
          <t>987</t>
        </is>
      </c>
      <c r="H90" s="6" t="n">
        <v>115147</v>
      </c>
      <c r="I90" s="11" t="inlineStr">
        <is>
          <t>Saldo FC PMP1276958</t>
        </is>
      </c>
    </row>
    <row r="91">
      <c r="C91" s="10" t="inlineStr">
        <is>
          <t>Reduc Factura Compra</t>
        </is>
      </c>
      <c r="D91" s="10" t="inlineStr">
        <is>
          <t>PMP1270678</t>
        </is>
      </c>
      <c r="E91" s="6" t="n">
        <v>192304</v>
      </c>
      <c r="F91" s="10" t="inlineStr">
        <is>
          <t>DESCUENTO</t>
        </is>
      </c>
      <c r="G91" s="10" t="inlineStr">
        <is>
          <t>987</t>
        </is>
      </c>
      <c r="H91" s="6" t="n">
        <v>192304</v>
      </c>
      <c r="I91" s="11" t="inlineStr">
        <is>
          <t>Saldo FC PMP1270678</t>
        </is>
      </c>
    </row>
    <row r="92">
      <c r="C92" s="10" t="inlineStr">
        <is>
          <t>Reduc Factura Compra</t>
        </is>
      </c>
      <c r="D92" s="10" t="inlineStr">
        <is>
          <t>PMP1271667</t>
        </is>
      </c>
      <c r="E92" s="6" t="n">
        <v>384234</v>
      </c>
      <c r="F92" s="10" t="inlineStr">
        <is>
          <t>DESCUENTO</t>
        </is>
      </c>
      <c r="G92" s="10" t="inlineStr">
        <is>
          <t>987</t>
        </is>
      </c>
      <c r="H92" s="6" t="n">
        <v>384234</v>
      </c>
      <c r="I92" s="11" t="inlineStr">
        <is>
          <t>Saldo FC PMP1271667</t>
        </is>
      </c>
    </row>
    <row r="93">
      <c r="C93" s="10" t="inlineStr">
        <is>
          <t>Reduc Factura Compra</t>
        </is>
      </c>
      <c r="D93" s="10" t="inlineStr">
        <is>
          <t>PMP1276992</t>
        </is>
      </c>
      <c r="E93" s="6" t="n">
        <v>4956</v>
      </c>
      <c r="F93" s="10" t="inlineStr">
        <is>
          <t>DESCUENTO</t>
        </is>
      </c>
      <c r="G93" s="10" t="inlineStr">
        <is>
          <t>987</t>
        </is>
      </c>
      <c r="H93" s="6" t="n">
        <v>4956</v>
      </c>
      <c r="I93" s="11" t="inlineStr">
        <is>
          <t>DESCUENTO PMP1276992 UNILEVER ANDINA COLOMBIA LTDA/conciliaicon</t>
        </is>
      </c>
    </row>
    <row r="94">
      <c r="C94" s="10" t="inlineStr">
        <is>
          <t>Reduc Factura Compra</t>
        </is>
      </c>
      <c r="D94" s="10" t="inlineStr">
        <is>
          <t>PMP1279354</t>
        </is>
      </c>
      <c r="E94" s="6" t="n">
        <v>2548277</v>
      </c>
      <c r="F94" s="10" t="inlineStr">
        <is>
          <t>DESCUENTO</t>
        </is>
      </c>
      <c r="G94" s="10" t="inlineStr">
        <is>
          <t>987</t>
        </is>
      </c>
      <c r="H94" s="6" t="n">
        <v>2548277</v>
      </c>
      <c r="I94" s="11" t="inlineStr">
        <is>
          <t>Saldo FC PMP1279354</t>
        </is>
      </c>
    </row>
    <row r="95">
      <c r="C95" s="10" t="inlineStr">
        <is>
          <t>Reduc Factura Compra</t>
        </is>
      </c>
      <c r="D95" s="10" t="inlineStr">
        <is>
          <t>PMP1273880</t>
        </is>
      </c>
      <c r="E95" s="6" t="n">
        <v>2873883</v>
      </c>
      <c r="F95" s="10" t="inlineStr">
        <is>
          <t>DESCUENTO</t>
        </is>
      </c>
      <c r="G95" s="10" t="inlineStr">
        <is>
          <t>987</t>
        </is>
      </c>
      <c r="H95" s="6" t="n">
        <v>2873883</v>
      </c>
      <c r="I95" s="11" t="inlineStr">
        <is>
          <t>Saldo FC PMP1273880</t>
        </is>
      </c>
    </row>
    <row r="96">
      <c r="C96" s="10" t="inlineStr">
        <is>
          <t>Nota de Crédito</t>
        </is>
      </c>
      <c r="D96" s="10" t="inlineStr">
        <is>
          <t>1200012947</t>
        </is>
      </c>
      <c r="E96" s="6" t="n">
        <v>-143145262</v>
      </c>
      <c r="F96" s="10" t="inlineStr"/>
      <c r="G96" s="10" t="inlineStr">
        <is>
          <t>NRO</t>
        </is>
      </c>
      <c r="H96" s="6" t="n">
        <v>-143145262</v>
      </c>
      <c r="I96" s="11" t="inlineStr">
        <is>
          <t>Pendiente de Aplicar sin Soporte</t>
        </is>
      </c>
    </row>
    <row r="97">
      <c r="C97" s="10" t="inlineStr">
        <is>
          <t>Nota de Crédito</t>
        </is>
      </c>
      <c r="D97" s="10" t="inlineStr">
        <is>
          <t>1200013005</t>
        </is>
      </c>
      <c r="E97" s="6" t="n">
        <v>-388554179</v>
      </c>
      <c r="F97" s="10" t="inlineStr"/>
      <c r="G97" s="10" t="inlineStr">
        <is>
          <t>NRO</t>
        </is>
      </c>
      <c r="H97" s="6" t="n">
        <v>-388554179</v>
      </c>
      <c r="I97" s="11" t="inlineStr">
        <is>
          <t>Pendiente de Aplicar sin Soporte</t>
        </is>
      </c>
    </row>
    <row r="98">
      <c r="C98" s="10" t="inlineStr">
        <is>
          <t>Nota de Crédito</t>
        </is>
      </c>
      <c r="D98" s="10" t="inlineStr">
        <is>
          <t>1200013286</t>
        </is>
      </c>
      <c r="E98" s="6" t="n">
        <v>-795603394</v>
      </c>
      <c r="F98" s="10" t="inlineStr"/>
      <c r="G98" s="10" t="inlineStr">
        <is>
          <t>NRO</t>
        </is>
      </c>
      <c r="H98" s="6" t="n">
        <v>-795603394</v>
      </c>
      <c r="I98" s="11" t="inlineStr">
        <is>
          <t>Pendiente de Aplicar sin Soporte</t>
        </is>
      </c>
    </row>
    <row r="99">
      <c r="C99" s="10" t="inlineStr">
        <is>
          <t>Nota de Crédito</t>
        </is>
      </c>
      <c r="D99" s="10" t="inlineStr">
        <is>
          <t>1200013299</t>
        </is>
      </c>
      <c r="E99" s="6" t="n">
        <v>-193603927</v>
      </c>
      <c r="F99" s="10" t="inlineStr"/>
      <c r="G99" s="10" t="inlineStr">
        <is>
          <t>NRO</t>
        </is>
      </c>
      <c r="H99" s="6" t="n">
        <v>-193603927</v>
      </c>
      <c r="I99" s="11" t="inlineStr">
        <is>
          <t>Pendiente de Aplicar sin Soporte</t>
        </is>
      </c>
    </row>
    <row r="100">
      <c r="C100" s="10" t="inlineStr">
        <is>
          <t>Nota de Crédito</t>
        </is>
      </c>
      <c r="D100" s="10" t="inlineStr">
        <is>
          <t>1200013300</t>
        </is>
      </c>
      <c r="E100" s="6" t="n">
        <v>-27876259</v>
      </c>
      <c r="F100" s="10" t="inlineStr"/>
      <c r="G100" s="10" t="inlineStr">
        <is>
          <t>NRO</t>
        </is>
      </c>
      <c r="H100" s="6" t="n">
        <v>-27876259</v>
      </c>
      <c r="I100" s="11" t="inlineStr">
        <is>
          <t>Pendiente de Aplicar sin Soporte</t>
        </is>
      </c>
    </row>
    <row r="101">
      <c r="C101" s="10" t="inlineStr">
        <is>
          <t>Nota de Crédito</t>
        </is>
      </c>
      <c r="D101" s="10" t="inlineStr">
        <is>
          <t>1200013530</t>
        </is>
      </c>
      <c r="E101" s="6" t="n">
        <v>-504563336</v>
      </c>
      <c r="F101" s="10" t="inlineStr"/>
      <c r="G101" s="10" t="inlineStr">
        <is>
          <t>NRO</t>
        </is>
      </c>
      <c r="H101" s="6" t="n">
        <v>-504563336</v>
      </c>
      <c r="I101" s="11" t="inlineStr">
        <is>
          <t>Pendiente de Aplicar sin Soporte</t>
        </is>
      </c>
    </row>
    <row r="102">
      <c r="C102" s="10" t="inlineStr">
        <is>
          <t>Nota de Crédito</t>
        </is>
      </c>
      <c r="D102" s="10" t="inlineStr">
        <is>
          <t>1200013676</t>
        </is>
      </c>
      <c r="E102" s="6" t="n">
        <v>-12114607</v>
      </c>
      <c r="F102" s="10" t="inlineStr"/>
      <c r="G102" s="10" t="inlineStr">
        <is>
          <t>NRO</t>
        </is>
      </c>
      <c r="H102" s="6" t="n">
        <v>-12114607</v>
      </c>
      <c r="I102" s="11" t="inlineStr">
        <is>
          <t>favor del cliente sin aplicar por falta de soporte</t>
        </is>
      </c>
    </row>
    <row r="103">
      <c r="C103" s="10" t="inlineStr">
        <is>
          <t>Nota de Crédito</t>
        </is>
      </c>
      <c r="D103" s="10" t="inlineStr">
        <is>
          <t>1200013677</t>
        </is>
      </c>
      <c r="E103" s="6" t="n">
        <v>-903316691</v>
      </c>
      <c r="F103" s="10" t="inlineStr"/>
      <c r="G103" s="10" t="inlineStr">
        <is>
          <t>NRO</t>
        </is>
      </c>
      <c r="H103" s="6" t="n">
        <v>-903316691</v>
      </c>
      <c r="I103" s="11" t="inlineStr">
        <is>
          <t>favor del cliente sin aplicar por falta de soporte</t>
        </is>
      </c>
    </row>
    <row r="104">
      <c r="C104" s="10" t="inlineStr">
        <is>
          <t>Nota</t>
        </is>
      </c>
      <c r="D104" s="10" t="inlineStr">
        <is>
          <t>AUT.G.COMERCIAL</t>
        </is>
      </c>
      <c r="E104" s="6" t="n">
        <v>1059035</v>
      </c>
      <c r="F104" s="10" t="inlineStr">
        <is>
          <t>AVERIA</t>
        </is>
      </c>
      <c r="G104" s="10" t="inlineStr">
        <is>
          <t>522</t>
        </is>
      </c>
      <c r="H104" s="6" t="n">
        <v>1059035</v>
      </c>
      <c r="I104" s="11" t="inlineStr">
        <is>
          <t>AVERIA AUT.G.COMERCIAL Dev.&gt;.a.30.dias.en.CEDI.8_Sep_</t>
        </is>
      </c>
    </row>
    <row r="105">
      <c r="C105" s="10" t="inlineStr">
        <is>
          <t>Nota</t>
        </is>
      </c>
      <c r="D105" s="10" t="inlineStr">
        <is>
          <t>AUT.G.COMERCIAL</t>
        </is>
      </c>
      <c r="E105" s="6" t="n">
        <v>110942</v>
      </c>
      <c r="F105" s="10" t="inlineStr">
        <is>
          <t>AVERIA</t>
        </is>
      </c>
      <c r="G105" s="10" t="inlineStr">
        <is>
          <t>522</t>
        </is>
      </c>
      <c r="H105" s="6" t="n">
        <v>110942</v>
      </c>
      <c r="I105" s="11" t="inlineStr">
        <is>
          <t>AVERIA AUT.G.COMERCIAL Dev.&gt;.a.30.dias.en.CEDI.8_Sep_</t>
        </is>
      </c>
    </row>
    <row r="106">
      <c r="C106" s="10" t="inlineStr">
        <is>
          <t>Nota</t>
        </is>
      </c>
      <c r="D106" s="10" t="inlineStr">
        <is>
          <t>AUT.G.COMERCIAL</t>
        </is>
      </c>
      <c r="E106" s="6" t="n">
        <v>111047</v>
      </c>
      <c r="F106" s="10" t="inlineStr">
        <is>
          <t>AVERIA</t>
        </is>
      </c>
      <c r="G106" s="10" t="inlineStr">
        <is>
          <t>522</t>
        </is>
      </c>
      <c r="H106" s="6" t="n">
        <v>111047</v>
      </c>
      <c r="I106" s="11" t="inlineStr">
        <is>
          <t>AVERIA AUT.G.COMERCIAL Dev.&gt;.a.30.dias.en.CEDI.8_Sep_</t>
        </is>
      </c>
    </row>
    <row r="107">
      <c r="C107" s="10" t="inlineStr">
        <is>
          <t>Nota</t>
        </is>
      </c>
      <c r="D107" s="10" t="inlineStr">
        <is>
          <t>AUT.G.COMERCIAL</t>
        </is>
      </c>
      <c r="E107" s="6" t="n">
        <v>97776</v>
      </c>
      <c r="F107" s="10" t="inlineStr">
        <is>
          <t>AVERIA</t>
        </is>
      </c>
      <c r="G107" s="10" t="inlineStr">
        <is>
          <t>522</t>
        </is>
      </c>
      <c r="H107" s="6" t="n">
        <v>97776</v>
      </c>
      <c r="I107" s="11" t="inlineStr">
        <is>
          <t>AVERIA AUT.G.COMERCIAL Dev.&gt;.a.30.dias.en.CEDI.8_Sep_</t>
        </is>
      </c>
    </row>
    <row r="108">
      <c r="C108" s="10" t="inlineStr">
        <is>
          <t>Nota</t>
        </is>
      </c>
      <c r="D108" s="10" t="inlineStr">
        <is>
          <t>AUT.G.COMERCIAL</t>
        </is>
      </c>
      <c r="E108" s="6" t="n">
        <v>481837</v>
      </c>
      <c r="F108" s="10" t="inlineStr">
        <is>
          <t>AVERIA</t>
        </is>
      </c>
      <c r="G108" s="10" t="inlineStr">
        <is>
          <t>522</t>
        </is>
      </c>
      <c r="H108" s="6" t="n">
        <v>481837</v>
      </c>
      <c r="I108" s="11" t="inlineStr">
        <is>
          <t>AVERIA AUT.G.COMERCIAL Dev.&gt;.a.30.dias.en.CEDI.8_Sep_</t>
        </is>
      </c>
    </row>
    <row r="109">
      <c r="C109" s="10" t="inlineStr">
        <is>
          <t>Nota</t>
        </is>
      </c>
      <c r="D109" s="10" t="inlineStr">
        <is>
          <t>nan</t>
        </is>
      </c>
      <c r="E109" s="6" t="n">
        <v>281159815</v>
      </c>
      <c r="F109" s="10" t="inlineStr">
        <is>
          <t>DESCUENTO</t>
        </is>
      </c>
      <c r="G109" s="10" t="n">
        <v>987</v>
      </c>
      <c r="H109" s="6" t="n">
        <v>281159815</v>
      </c>
      <c r="I109" s="11" t="inlineStr">
        <is>
          <t>DESCUENTO nan PDI PRODUCTO DEL DÍA 1 Y 2 SEP 2025 UNILEVER</t>
        </is>
      </c>
    </row>
    <row r="110">
      <c r="C110" s="10" t="inlineStr">
        <is>
          <t>Nota</t>
        </is>
      </c>
      <c r="D110" s="10" t="inlineStr">
        <is>
          <t>NOTA DEVOLUCIÓN</t>
        </is>
      </c>
      <c r="E110" s="6" t="n">
        <v>23148793</v>
      </c>
      <c r="F110" s="10" t="inlineStr">
        <is>
          <t>DESCUENTO</t>
        </is>
      </c>
      <c r="G110" s="10" t="n">
        <v>987</v>
      </c>
      <c r="H110" s="6" t="n">
        <v>23148793</v>
      </c>
      <c r="I110" s="11" t="inlineStr">
        <is>
          <t>DESCUENTO NOTA DEVOLUCIÓN NOTA DEVOLUCIÓN POR DEPURACIÓN INVENTARIO SEP 25</t>
        </is>
      </c>
    </row>
    <row r="111">
      <c r="C111" s="10" t="inlineStr">
        <is>
          <t>Nota</t>
        </is>
      </c>
      <c r="D111" s="10" t="inlineStr">
        <is>
          <t>NOTA DEVOLUCIÓN</t>
        </is>
      </c>
      <c r="E111" s="6" t="n">
        <v>136694904</v>
      </c>
      <c r="F111" s="10" t="inlineStr">
        <is>
          <t>DESCUENTO</t>
        </is>
      </c>
      <c r="G111" s="10" t="n">
        <v>987</v>
      </c>
      <c r="H111" s="6" t="n">
        <v>136694904</v>
      </c>
      <c r="I111" s="11" t="inlineStr">
        <is>
          <t>DESCUENTO NOTA DEVOLUCIÓN NOTA DEVOLUCIÓN POR DEPURACIÓN INVENTARIO SEP 25</t>
        </is>
      </c>
    </row>
    <row r="112">
      <c r="C112" s="10" t="inlineStr">
        <is>
          <t>Nota</t>
        </is>
      </c>
      <c r="D112" s="10" t="inlineStr">
        <is>
          <t>PMP1256434</t>
        </is>
      </c>
      <c r="E112" s="6" t="n">
        <v>917381</v>
      </c>
      <c r="F112" s="10" t="inlineStr">
        <is>
          <t>DESCUENTO</t>
        </is>
      </c>
      <c r="G112" s="10" t="n">
        <v>987</v>
      </c>
      <c r="H112" s="6" t="n">
        <v>917381</v>
      </c>
      <c r="I112" s="11" t="inlineStr">
        <is>
          <t>DESCUENTO PMP1256434 UNILEVER ANDINA COLOMBIA LTDA DCTO 8% C/FIDENCIAL</t>
        </is>
      </c>
    </row>
    <row r="113">
      <c r="C113" s="10" t="inlineStr">
        <is>
          <t>Nota</t>
        </is>
      </c>
      <c r="D113" s="10" t="inlineStr">
        <is>
          <t>NOTA DEVOLUCIÓN</t>
        </is>
      </c>
      <c r="E113" s="6" t="n">
        <v>58852874</v>
      </c>
      <c r="F113" s="10" t="inlineStr">
        <is>
          <t>DESCUENTO</t>
        </is>
      </c>
      <c r="G113" s="10" t="n">
        <v>987</v>
      </c>
      <c r="H113" s="6" t="n">
        <v>58852874</v>
      </c>
      <c r="I113" s="11" t="inlineStr">
        <is>
          <t>DESCUENTO NOTA DEVOLUCIÓN NOTA DEVOLUCIÓN POR DEPURACIÓN INVENTARIO SEP 25</t>
        </is>
      </c>
    </row>
    <row r="114">
      <c r="C114" s="10" t="inlineStr">
        <is>
          <t>Nota</t>
        </is>
      </c>
      <c r="D114" s="10" t="inlineStr">
        <is>
          <t>NOTA DEVOLUCIÓN</t>
        </is>
      </c>
      <c r="E114" s="6" t="n">
        <v>25771569</v>
      </c>
      <c r="F114" s="10" t="inlineStr">
        <is>
          <t>DESCUENTO</t>
        </is>
      </c>
      <c r="G114" s="10" t="n">
        <v>987</v>
      </c>
      <c r="H114" s="6" t="n">
        <v>25771569</v>
      </c>
      <c r="I114" s="11" t="inlineStr">
        <is>
          <t>DESCUENTO NOTA DEVOLUCIÓN NOTA DEVOLUCIÓN POR DEPURACIÓN INVENTARIO SEP 25</t>
        </is>
      </c>
    </row>
    <row r="115">
      <c r="C115" s="10" t="inlineStr">
        <is>
          <t>Nota</t>
        </is>
      </c>
      <c r="D115" s="10" t="inlineStr">
        <is>
          <t>NOTA DEVOLUCIÓN</t>
        </is>
      </c>
      <c r="E115" s="6" t="n">
        <v>14421092</v>
      </c>
      <c r="F115" s="10" t="inlineStr">
        <is>
          <t>DESCUENTO</t>
        </is>
      </c>
      <c r="G115" s="10" t="n">
        <v>987</v>
      </c>
      <c r="H115" s="6" t="n">
        <v>14421092</v>
      </c>
      <c r="I115" s="11" t="inlineStr">
        <is>
          <t>DESCUENTO NOTA DEVOLUCIÓN NOTA DEVOLUCIÓN POR DEPURACIÓN INVENTARIO SEP 25</t>
        </is>
      </c>
    </row>
    <row r="116">
      <c r="C116" s="10" t="inlineStr">
        <is>
          <t>Nota</t>
        </is>
      </c>
      <c r="D116" s="10" t="inlineStr">
        <is>
          <t>PMP1259836</t>
        </is>
      </c>
      <c r="E116" s="6" t="n">
        <v>1081229</v>
      </c>
      <c r="F116" s="10" t="inlineStr">
        <is>
          <t>DESCUENTO</t>
        </is>
      </c>
      <c r="G116" s="10" t="n">
        <v>987</v>
      </c>
      <c r="H116" s="6" t="n">
        <v>1081229</v>
      </c>
      <c r="I116" s="11" t="inlineStr">
        <is>
          <t>DESCUENTO PMP1259836 UNILEVER ANDINA COLOMBIA LTDA 0,08 Confidencial</t>
        </is>
      </c>
    </row>
    <row r="117">
      <c r="C117" s="10" t="inlineStr">
        <is>
          <t>Nota</t>
        </is>
      </c>
      <c r="D117" s="10" t="inlineStr">
        <is>
          <t>nan</t>
        </is>
      </c>
      <c r="E117" s="6" t="n">
        <v>23192967</v>
      </c>
      <c r="F117" s="10" t="inlineStr">
        <is>
          <t>DESCUENTO</t>
        </is>
      </c>
      <c r="G117" s="10" t="n">
        <v>987</v>
      </c>
      <c r="H117" s="6" t="n">
        <v>23192967</v>
      </c>
      <c r="I117" s="11" t="inlineStr">
        <is>
          <t>DESCUENTO nan TRASPASO DE REG.A OBS.UNILEVER DIV.C 12.09.2025</t>
        </is>
      </c>
    </row>
    <row r="118">
      <c r="C118" s="10" t="inlineStr">
        <is>
          <t>Nota</t>
        </is>
      </c>
      <c r="D118" s="10" t="inlineStr">
        <is>
          <t>nan</t>
        </is>
      </c>
      <c r="E118" s="6" t="n">
        <v>5639575</v>
      </c>
      <c r="F118" s="10" t="inlineStr">
        <is>
          <t>DESCUENTO</t>
        </is>
      </c>
      <c r="G118" s="10" t="n">
        <v>987</v>
      </c>
      <c r="H118" s="6" t="n">
        <v>5639575</v>
      </c>
      <c r="I118" s="11" t="inlineStr">
        <is>
          <t>DESCUENTO nan FCR MEGSEM PAIS 04-09 AGO 2025 CPS PARCIAL I</t>
        </is>
      </c>
    </row>
    <row r="119">
      <c r="C119" s="10" t="inlineStr">
        <is>
          <t>Nota</t>
        </is>
      </c>
      <c r="D119" s="10" t="inlineStr">
        <is>
          <t>PMP1258284</t>
        </is>
      </c>
      <c r="E119" s="6" t="n">
        <v>780015</v>
      </c>
      <c r="F119" s="10" t="inlineStr">
        <is>
          <t>DESCUENTO</t>
        </is>
      </c>
      <c r="G119" s="10" t="n">
        <v>987</v>
      </c>
      <c r="H119" s="6" t="n">
        <v>780015</v>
      </c>
      <c r="I119" s="11" t="inlineStr">
        <is>
          <t>DESCUENTO PMP1258284 7600208160 DESCUENTO CONFIDENCIAL 8% B/QUILLA</t>
        </is>
      </c>
    </row>
    <row r="120">
      <c r="C120" s="10" t="inlineStr">
        <is>
          <t>Nota</t>
        </is>
      </c>
      <c r="D120" s="10" t="inlineStr">
        <is>
          <t>PMP1258456</t>
        </is>
      </c>
      <c r="E120" s="6" t="n">
        <v>440918</v>
      </c>
      <c r="F120" s="10" t="inlineStr">
        <is>
          <t>DESCUENTO</t>
        </is>
      </c>
      <c r="G120" s="10" t="n">
        <v>987</v>
      </c>
      <c r="H120" s="6" t="n">
        <v>440918</v>
      </c>
      <c r="I120" s="11" t="inlineStr">
        <is>
          <t>DESCUENTO PMP1258456 UNILEVER ANDINA COLOMBIA  DCTO 8% C/FIDENCIAL</t>
        </is>
      </c>
    </row>
    <row r="121">
      <c r="C121" s="10" t="inlineStr">
        <is>
          <t>Nota</t>
        </is>
      </c>
      <c r="D121" s="10" t="inlineStr">
        <is>
          <t>nan</t>
        </is>
      </c>
      <c r="E121" s="6" t="n">
        <v>21924864</v>
      </c>
      <c r="F121" s="10" t="inlineStr">
        <is>
          <t>DESCUENTO</t>
        </is>
      </c>
      <c r="G121" s="10" t="n">
        <v>987</v>
      </c>
      <c r="H121" s="6" t="n">
        <v>21924864</v>
      </c>
      <c r="I121" s="11" t="inlineStr">
        <is>
          <t>DESCUENTO nan TRASPASO DE REG.A OBS.UNILEVER DIV.A 12.09.2025</t>
        </is>
      </c>
    </row>
    <row r="122">
      <c r="C122" s="10" t="inlineStr">
        <is>
          <t>Nota</t>
        </is>
      </c>
      <c r="D122" s="10" t="inlineStr">
        <is>
          <t>NOTA DEVOLUCIÓN</t>
        </is>
      </c>
      <c r="E122" s="6" t="n">
        <v>12261461</v>
      </c>
      <c r="F122" s="10" t="inlineStr">
        <is>
          <t>DESCUENTO</t>
        </is>
      </c>
      <c r="G122" s="10" t="n">
        <v>987</v>
      </c>
      <c r="H122" s="6" t="n">
        <v>12261461</v>
      </c>
      <c r="I122" s="11" t="inlineStr">
        <is>
          <t>DESCUENTO NOTA DEVOLUCIÓN NOTA DEVOLUCIÓN POR DEPURACIÓN INVENTARIO SEP 25</t>
        </is>
      </c>
    </row>
    <row r="123">
      <c r="C123" s="10" t="inlineStr">
        <is>
          <t>Nota</t>
        </is>
      </c>
      <c r="D123" s="10" t="inlineStr">
        <is>
          <t>NOTA DEVOLUCIÓN</t>
        </is>
      </c>
      <c r="E123" s="6" t="n">
        <v>6652327</v>
      </c>
      <c r="F123" s="10" t="inlineStr">
        <is>
          <t>DESCUENTO</t>
        </is>
      </c>
      <c r="G123" s="10" t="n">
        <v>987</v>
      </c>
      <c r="H123" s="6" t="n">
        <v>6652327</v>
      </c>
      <c r="I123" s="11" t="inlineStr">
        <is>
          <t>DESCUENTO NOTA DEVOLUCIÓN NOTA DEVOLUCIÓN POR DEPURACIÓN INVENTARIO SEP 25</t>
        </is>
      </c>
    </row>
    <row r="124">
      <c r="C124" s="10" t="inlineStr">
        <is>
          <t>Nota</t>
        </is>
      </c>
      <c r="D124" s="10" t="inlineStr">
        <is>
          <t>NOTA DEVOLUCIÓN</t>
        </is>
      </c>
      <c r="E124" s="6" t="n">
        <v>15664649</v>
      </c>
      <c r="F124" s="10" t="inlineStr">
        <is>
          <t>DESCUENTO</t>
        </is>
      </c>
      <c r="G124" s="10" t="n">
        <v>987</v>
      </c>
      <c r="H124" s="6" t="n">
        <v>15664649</v>
      </c>
      <c r="I124" s="11" t="inlineStr">
        <is>
          <t>DESCUENTO NOTA DEVOLUCIÓN NOTA DEVOLUCIÓN POR DEPURACIÓN INVENTARIO SEP 25</t>
        </is>
      </c>
    </row>
    <row r="125">
      <c r="C125" s="10" t="inlineStr">
        <is>
          <t>Nota</t>
        </is>
      </c>
      <c r="D125" s="10" t="inlineStr">
        <is>
          <t>NOTA DEVOLUCIÓN</t>
        </is>
      </c>
      <c r="E125" s="6" t="n">
        <v>7592643</v>
      </c>
      <c r="F125" s="10" t="inlineStr">
        <is>
          <t>DESCUENTO</t>
        </is>
      </c>
      <c r="G125" s="10" t="n">
        <v>987</v>
      </c>
      <c r="H125" s="6" t="n">
        <v>7592643</v>
      </c>
      <c r="I125" s="11" t="inlineStr">
        <is>
          <t>DESCUENTO NOTA DEVOLUCIÓN NOTA DEVOLUCIÓN POR DEPURACIÓN INVENTARIO SEP 25</t>
        </is>
      </c>
    </row>
    <row r="126">
      <c r="C126" s="10" t="inlineStr">
        <is>
          <t>Nota</t>
        </is>
      </c>
      <c r="D126" s="10" t="inlineStr">
        <is>
          <t>PMP1256437</t>
        </is>
      </c>
      <c r="E126" s="6" t="n">
        <v>1659797</v>
      </c>
      <c r="F126" s="10" t="inlineStr">
        <is>
          <t>DESCUENTO</t>
        </is>
      </c>
      <c r="G126" s="10" t="n">
        <v>987</v>
      </c>
      <c r="H126" s="6" t="n">
        <v>1659797</v>
      </c>
      <c r="I126" s="11" t="inlineStr">
        <is>
          <t>DESCUENTO PMP1256437 UNILEVER ANDINA COLOMBIA LTDA DCTO 8% C/FIDENCIAL</t>
        </is>
      </c>
    </row>
    <row r="127">
      <c r="C127" s="10" t="inlineStr">
        <is>
          <t>Nota</t>
        </is>
      </c>
      <c r="D127" s="10" t="inlineStr">
        <is>
          <t>nan</t>
        </is>
      </c>
      <c r="E127" s="6" t="n">
        <v>36048652</v>
      </c>
      <c r="F127" s="10" t="inlineStr">
        <is>
          <t>DESCUENTO</t>
        </is>
      </c>
      <c r="G127" s="10" t="n">
        <v>987</v>
      </c>
      <c r="H127" s="6" t="n">
        <v>36048652</v>
      </c>
      <c r="I127" s="11" t="inlineStr">
        <is>
          <t>DESCUENTO nan DDPD UNILEVER AGOSTO 2025</t>
        </is>
      </c>
    </row>
    <row r="128">
      <c r="C128" s="10" t="inlineStr">
        <is>
          <t>Nota</t>
        </is>
      </c>
      <c r="D128" s="10" t="inlineStr">
        <is>
          <t>NOTA DEVOLUCIÓN</t>
        </is>
      </c>
      <c r="E128" s="6" t="n">
        <v>1686385</v>
      </c>
      <c r="F128" s="10" t="inlineStr">
        <is>
          <t>DESCUENTO</t>
        </is>
      </c>
      <c r="G128" s="10" t="n">
        <v>987</v>
      </c>
      <c r="H128" s="6" t="n">
        <v>1686385</v>
      </c>
      <c r="I128" s="11" t="inlineStr">
        <is>
          <t>DESCUENTO NOTA DEVOLUCIÓN NOTA DEVOLUCIÓN POR DEPURACIÓN INVENTARIO SEP 25</t>
        </is>
      </c>
    </row>
    <row r="129">
      <c r="C129" s="10" t="inlineStr">
        <is>
          <t>Nota</t>
        </is>
      </c>
      <c r="D129" s="10" t="inlineStr">
        <is>
          <t>NOTA DEVOLUCIÓN</t>
        </is>
      </c>
      <c r="E129" s="6" t="n">
        <v>2467791</v>
      </c>
      <c r="F129" s="10" t="inlineStr">
        <is>
          <t>DESCUENTO</t>
        </is>
      </c>
      <c r="G129" s="10" t="n">
        <v>987</v>
      </c>
      <c r="H129" s="6" t="n">
        <v>2467791</v>
      </c>
      <c r="I129" s="11" t="inlineStr">
        <is>
          <t>DESCUENTO NOTA DEVOLUCIÓN NOTA DEVOLUCIÓN POR DEPURACIÓN INVENTARIO SEP 25</t>
        </is>
      </c>
    </row>
    <row r="130">
      <c r="C130" s="10" t="inlineStr">
        <is>
          <t>Nota</t>
        </is>
      </c>
      <c r="D130" s="10" t="inlineStr">
        <is>
          <t>NOTA DEVOLUCIÓN</t>
        </is>
      </c>
      <c r="E130" s="6" t="n">
        <v>2946257</v>
      </c>
      <c r="F130" s="10" t="inlineStr">
        <is>
          <t>DESCUENTO</t>
        </is>
      </c>
      <c r="G130" s="10" t="n">
        <v>987</v>
      </c>
      <c r="H130" s="6" t="n">
        <v>2946257</v>
      </c>
      <c r="I130" s="11" t="inlineStr">
        <is>
          <t>DESCUENTO NOTA DEVOLUCIÓN NOTA DEVOLUCIÓN POR DEPURACIÓN INVENTARIO SEP 25</t>
        </is>
      </c>
    </row>
    <row r="131">
      <c r="C131" s="10" t="inlineStr">
        <is>
          <t>Nota</t>
        </is>
      </c>
      <c r="D131" s="10" t="inlineStr">
        <is>
          <t>NOTA DEVOLUCIÓN</t>
        </is>
      </c>
      <c r="E131" s="6" t="n">
        <v>2542515</v>
      </c>
      <c r="F131" s="10" t="inlineStr">
        <is>
          <t>DESCUENTO</t>
        </is>
      </c>
      <c r="G131" s="10" t="n">
        <v>987</v>
      </c>
      <c r="H131" s="6" t="n">
        <v>2542515</v>
      </c>
      <c r="I131" s="11" t="inlineStr">
        <is>
          <t>DESCUENTO NOTA DEVOLUCIÓN NOTA DEVOLUCIÓN POR DEPURACIÓN INVENTARIO SEP 25</t>
        </is>
      </c>
    </row>
    <row r="132">
      <c r="C132" s="10" t="inlineStr">
        <is>
          <t>Nota</t>
        </is>
      </c>
      <c r="D132" s="10" t="inlineStr">
        <is>
          <t>NOTA DEVOLUCIÓN</t>
        </is>
      </c>
      <c r="E132" s="6" t="n">
        <v>1614844</v>
      </c>
      <c r="F132" s="10" t="inlineStr">
        <is>
          <t>DESCUENTO</t>
        </is>
      </c>
      <c r="G132" s="10" t="n">
        <v>987</v>
      </c>
      <c r="H132" s="6" t="n">
        <v>1614844</v>
      </c>
      <c r="I132" s="11" t="inlineStr">
        <is>
          <t>DESCUENTO NOTA DEVOLUCIÓN NOTA DEVOLUCIÓN POR DEPURACIÓN INVENTARIO SEP 25</t>
        </is>
      </c>
    </row>
    <row r="133">
      <c r="C133" s="10" t="inlineStr">
        <is>
          <t>Nota</t>
        </is>
      </c>
      <c r="D133" s="10" t="inlineStr">
        <is>
          <t>nan</t>
        </is>
      </c>
      <c r="E133" s="6" t="n">
        <v>81572549</v>
      </c>
      <c r="F133" s="10" t="inlineStr">
        <is>
          <t>DESCUENTO</t>
        </is>
      </c>
      <c r="G133" s="10" t="n">
        <v>987</v>
      </c>
      <c r="H133" s="6" t="n">
        <v>81572549</v>
      </c>
      <c r="I133" s="11" t="inlineStr">
        <is>
          <t>DESCUENTO nan SUPER SEMANAL JUL 2025</t>
        </is>
      </c>
    </row>
    <row r="134">
      <c r="C134" s="10" t="inlineStr">
        <is>
          <t>Nota</t>
        </is>
      </c>
      <c r="D134" s="10" t="inlineStr">
        <is>
          <t>PMP1258180</t>
        </is>
      </c>
      <c r="E134" s="6" t="n">
        <v>219154</v>
      </c>
      <c r="F134" s="10" t="inlineStr">
        <is>
          <t>DESCUENTO</t>
        </is>
      </c>
      <c r="G134" s="10" t="n">
        <v>987</v>
      </c>
      <c r="H134" s="6" t="n">
        <v>219154</v>
      </c>
      <c r="I134" s="11" t="inlineStr">
        <is>
          <t>DESCUENTO PMP1258180 DESCTO 8% CONFIDENCIAL OC 7600208160 BELLO</t>
        </is>
      </c>
    </row>
    <row r="135">
      <c r="C135" s="10" t="inlineStr">
        <is>
          <t>Nota</t>
        </is>
      </c>
      <c r="D135" s="10" t="inlineStr">
        <is>
          <t>nan</t>
        </is>
      </c>
      <c r="E135" s="6" t="n">
        <v>17897326</v>
      </c>
      <c r="F135" s="10" t="inlineStr">
        <is>
          <t>DESCUENTO</t>
        </is>
      </c>
      <c r="G135" s="10" t="n">
        <v>987</v>
      </c>
      <c r="H135" s="6" t="n">
        <v>17897326</v>
      </c>
      <c r="I135" s="11" t="inlineStr">
        <is>
          <t>DESCUENTO nan TRASPASO DE REG.A OBS.LAB.UNILEVER 30.08.2025</t>
        </is>
      </c>
    </row>
    <row r="136">
      <c r="C136" s="10" t="inlineStr">
        <is>
          <t>Nota</t>
        </is>
      </c>
      <c r="D136" s="10" t="inlineStr">
        <is>
          <t>nan</t>
        </is>
      </c>
      <c r="E136" s="6" t="n">
        <v>125974323</v>
      </c>
      <c r="F136" s="10" t="inlineStr">
        <is>
          <t>DESCUENTO</t>
        </is>
      </c>
      <c r="G136" s="10" t="n">
        <v>987</v>
      </c>
      <c r="H136" s="6" t="n">
        <v>125974323</v>
      </c>
      <c r="I136" s="11" t="inlineStr">
        <is>
          <t>DESCUENTO nan PSE PLAN SEM EXPLOSIVAS 18 -23 AGO 2025</t>
        </is>
      </c>
    </row>
    <row r="137">
      <c r="C137" s="10" t="inlineStr">
        <is>
          <t>Nota</t>
        </is>
      </c>
      <c r="D137" s="10" t="inlineStr">
        <is>
          <t>NOTA DEVOLUCIÓN</t>
        </is>
      </c>
      <c r="E137" s="6" t="n">
        <v>52023765</v>
      </c>
      <c r="F137" s="10" t="inlineStr">
        <is>
          <t>DESCUENTO</t>
        </is>
      </c>
      <c r="G137" s="10" t="n">
        <v>987</v>
      </c>
      <c r="H137" s="6" t="n">
        <v>52023765</v>
      </c>
      <c r="I137" s="11" t="inlineStr">
        <is>
          <t>DESCUENTO NOTA DEVOLUCIÓN NOTA DEVOLUCIÓN POR DEPURACIÓN INVENTARIO SEP 25</t>
        </is>
      </c>
    </row>
    <row r="138">
      <c r="C138" s="10" t="inlineStr">
        <is>
          <t>Nota</t>
        </is>
      </c>
      <c r="D138" s="10" t="inlineStr">
        <is>
          <t>NOTA DEVOLUCIÓN</t>
        </is>
      </c>
      <c r="E138" s="6" t="n">
        <v>9458910</v>
      </c>
      <c r="F138" s="10" t="inlineStr">
        <is>
          <t>DESCUENTO</t>
        </is>
      </c>
      <c r="G138" s="10" t="n">
        <v>987</v>
      </c>
      <c r="H138" s="6" t="n">
        <v>9458910</v>
      </c>
      <c r="I138" s="11" t="inlineStr">
        <is>
          <t>DESCUENTO NOTA DEVOLUCIÓN NOTA DEVOLUCIÓN POR DEPURACIÓN INVENTARIO SEP 25</t>
        </is>
      </c>
    </row>
    <row r="139">
      <c r="C139" s="10" t="inlineStr">
        <is>
          <t>Nota</t>
        </is>
      </c>
      <c r="D139" s="10" t="inlineStr">
        <is>
          <t>NOTA DEVOLUCIÓN</t>
        </is>
      </c>
      <c r="E139" s="6" t="n">
        <v>1319255</v>
      </c>
      <c r="F139" s="10" t="inlineStr">
        <is>
          <t>DESCUENTO</t>
        </is>
      </c>
      <c r="G139" s="10" t="n">
        <v>987</v>
      </c>
      <c r="H139" s="6" t="n">
        <v>1319255</v>
      </c>
      <c r="I139" s="11" t="inlineStr">
        <is>
          <t>DESCUENTO NOTA DEVOLUCIÓN NOTA DEVOLUCIÓN POR DEPURACIÓN INVENTARIO SEP 25</t>
        </is>
      </c>
    </row>
    <row r="140">
      <c r="C140" s="10" t="inlineStr">
        <is>
          <t>Nota</t>
        </is>
      </c>
      <c r="D140" s="10" t="inlineStr">
        <is>
          <t>NOTA DEVOLUCIÓN</t>
        </is>
      </c>
      <c r="E140" s="6" t="n">
        <v>5923198</v>
      </c>
      <c r="F140" s="10" t="inlineStr">
        <is>
          <t>DESCUENTO</t>
        </is>
      </c>
      <c r="G140" s="10" t="n">
        <v>987</v>
      </c>
      <c r="H140" s="6" t="n">
        <v>5923198</v>
      </c>
      <c r="I140" s="11" t="inlineStr">
        <is>
          <t>DESCUENTO NOTA DEVOLUCIÓN NOTA DEVOLUCIÓN POR DEPURACIÓN INVENTARIO SEP 25</t>
        </is>
      </c>
    </row>
    <row r="141">
      <c r="C141" s="10" t="inlineStr">
        <is>
          <t>Nota</t>
        </is>
      </c>
      <c r="D141" s="10" t="inlineStr">
        <is>
          <t>PMP1258595</t>
        </is>
      </c>
      <c r="E141" s="6" t="n">
        <v>6572042</v>
      </c>
      <c r="F141" s="10" t="inlineStr">
        <is>
          <t>DESCUENTO</t>
        </is>
      </c>
      <c r="G141" s="10" t="n">
        <v>987</v>
      </c>
      <c r="H141" s="6" t="n">
        <v>6572042</v>
      </c>
      <c r="I141" s="11" t="inlineStr">
        <is>
          <t>DESCUENTO PMP1258595 76-208160. DTO 8% CONFIDENCIAL UNILEVER-COTA</t>
        </is>
      </c>
    </row>
    <row r="142">
      <c r="C142" s="10" t="inlineStr">
        <is>
          <t>Nota</t>
        </is>
      </c>
      <c r="D142" s="10" t="inlineStr">
        <is>
          <t>nan</t>
        </is>
      </c>
      <c r="E142" s="6" t="n">
        <v>82067413</v>
      </c>
      <c r="F142" s="10" t="inlineStr">
        <is>
          <t>DESCUENTO</t>
        </is>
      </c>
      <c r="G142" s="10" t="n">
        <v>987</v>
      </c>
      <c r="H142" s="6" t="n">
        <v>82067413</v>
      </c>
      <c r="I142" s="11" t="inlineStr">
        <is>
          <t>DESCUENTO nan DDPD UNILEVER MIN 2Q 2025</t>
        </is>
      </c>
    </row>
    <row r="143">
      <c r="C143" s="10" t="inlineStr">
        <is>
          <t>Nota</t>
        </is>
      </c>
      <c r="D143" s="10" t="inlineStr">
        <is>
          <t>NOTA DEVOLUCIÓN</t>
        </is>
      </c>
      <c r="E143" s="6" t="n">
        <v>615525</v>
      </c>
      <c r="F143" s="10" t="inlineStr">
        <is>
          <t>DESCUENTO</t>
        </is>
      </c>
      <c r="G143" s="10" t="n">
        <v>987</v>
      </c>
      <c r="H143" s="6" t="n">
        <v>615525</v>
      </c>
      <c r="I143" s="11" t="inlineStr">
        <is>
          <t>DESCUENTO NOTA DEVOLUCIÓN NOTA DEVOLUCIÓN POR DEPURACIÓN INVENTARIO SEP 25</t>
        </is>
      </c>
    </row>
    <row r="144">
      <c r="C144" s="10" t="inlineStr">
        <is>
          <t>Nota</t>
        </is>
      </c>
      <c r="D144" s="10" t="inlineStr">
        <is>
          <t>NOTA DEVOLUCIÓN</t>
        </is>
      </c>
      <c r="E144" s="6" t="n">
        <v>8073343</v>
      </c>
      <c r="F144" s="10" t="inlineStr">
        <is>
          <t>DESCUENTO</t>
        </is>
      </c>
      <c r="G144" s="10" t="n">
        <v>987</v>
      </c>
      <c r="H144" s="6" t="n">
        <v>8073343</v>
      </c>
      <c r="I144" s="11" t="inlineStr">
        <is>
          <t>DESCUENTO NOTA DEVOLUCIÓN NOTA DEVOLUCIÓN POR DEPURACIÓN INVENTARIO SEP 25</t>
        </is>
      </c>
    </row>
    <row r="145">
      <c r="C145" s="10" t="inlineStr">
        <is>
          <t>Nota</t>
        </is>
      </c>
      <c r="D145" s="10" t="inlineStr">
        <is>
          <t>NOTA DEVOLUCIÓN</t>
        </is>
      </c>
      <c r="E145" s="6" t="n">
        <v>28813</v>
      </c>
      <c r="F145" s="10" t="inlineStr">
        <is>
          <t>DESCUENTO</t>
        </is>
      </c>
      <c r="G145" s="10" t="n">
        <v>987</v>
      </c>
      <c r="H145" s="6" t="n">
        <v>28813</v>
      </c>
      <c r="I145" s="11" t="inlineStr">
        <is>
          <t>DESCUENTO NOTA DEVOLUCIÓN NOTA DEVOLUCIÓN POR DEPURACIÓN INVENTARIO SEP 25</t>
        </is>
      </c>
    </row>
    <row r="146">
      <c r="C146" s="10" t="inlineStr">
        <is>
          <t>Nota</t>
        </is>
      </c>
      <c r="D146" s="10" t="inlineStr">
        <is>
          <t>NOTA DEVOLUCIÓN</t>
        </is>
      </c>
      <c r="E146" s="6" t="n">
        <v>3659996</v>
      </c>
      <c r="F146" s="10" t="inlineStr">
        <is>
          <t>DESCUENTO</t>
        </is>
      </c>
      <c r="G146" s="10" t="n">
        <v>987</v>
      </c>
      <c r="H146" s="6" t="n">
        <v>3659996</v>
      </c>
      <c r="I146" s="11" t="inlineStr">
        <is>
          <t>DESCUENTO NOTA DEVOLUCIÓN NOTA DEVOLUCIÓN POR DEPURACIÓN INVENTARIO SEP 25</t>
        </is>
      </c>
    </row>
    <row r="147">
      <c r="C147" s="10" t="inlineStr">
        <is>
          <t>Nota</t>
        </is>
      </c>
      <c r="D147" s="10" t="inlineStr">
        <is>
          <t>NOTA DEVOLUCIÓN</t>
        </is>
      </c>
      <c r="E147" s="6" t="n">
        <v>1074320</v>
      </c>
      <c r="F147" s="10" t="inlineStr">
        <is>
          <t>DESCUENTO</t>
        </is>
      </c>
      <c r="G147" s="10" t="n">
        <v>987</v>
      </c>
      <c r="H147" s="6" t="n">
        <v>1074320</v>
      </c>
      <c r="I147" s="11" t="inlineStr">
        <is>
          <t>DESCUENTO NOTA DEVOLUCIÓN NOTA DEVOLUCIÓN POR DEPURACIÓN INVENTARIO SEP 25</t>
        </is>
      </c>
    </row>
    <row r="148">
      <c r="C148" s="10" t="inlineStr">
        <is>
          <t>Nota</t>
        </is>
      </c>
      <c r="D148" s="10" t="inlineStr">
        <is>
          <t>NOTA DEVOLUCIÓN</t>
        </is>
      </c>
      <c r="E148" s="6" t="n">
        <v>8010033</v>
      </c>
      <c r="F148" s="10" t="inlineStr">
        <is>
          <t>DESCUENTO</t>
        </is>
      </c>
      <c r="G148" s="10" t="n">
        <v>987</v>
      </c>
      <c r="H148" s="6" t="n">
        <v>8010033</v>
      </c>
      <c r="I148" s="11" t="inlineStr">
        <is>
          <t>DESCUENTO NOTA DEVOLUCIÓN NOTA DEVOLUCIÓN POR DEPURACIÓN INVENTARIO SEP 25</t>
        </is>
      </c>
    </row>
    <row r="149">
      <c r="C149" s="10" t="inlineStr">
        <is>
          <t>Nota</t>
        </is>
      </c>
      <c r="D149" s="10" t="inlineStr">
        <is>
          <t>NOTA DEVOLUCIÓN</t>
        </is>
      </c>
      <c r="E149" s="6" t="n">
        <v>209929</v>
      </c>
      <c r="F149" s="10" t="inlineStr">
        <is>
          <t>DESCUENTO</t>
        </is>
      </c>
      <c r="G149" s="10" t="n">
        <v>987</v>
      </c>
      <c r="H149" s="6" t="n">
        <v>209929</v>
      </c>
      <c r="I149" s="11" t="inlineStr">
        <is>
          <t>DESCUENTO NOTA DEVOLUCIÓN NOTA DEVOLUCIÓN POR DEPURACIÓN INVENTARIO SEP 25</t>
        </is>
      </c>
    </row>
    <row r="150">
      <c r="C150" s="10" t="inlineStr">
        <is>
          <t>Nota</t>
        </is>
      </c>
      <c r="D150" s="10" t="inlineStr">
        <is>
          <t>NOTA DEVOLUCIÓN</t>
        </is>
      </c>
      <c r="E150" s="6" t="n">
        <v>6022678</v>
      </c>
      <c r="F150" s="10" t="inlineStr">
        <is>
          <t>DESCUENTO</t>
        </is>
      </c>
      <c r="G150" s="10" t="n">
        <v>987</v>
      </c>
      <c r="H150" s="6" t="n">
        <v>6022678</v>
      </c>
      <c r="I150" s="11" t="inlineStr">
        <is>
          <t>DESCUENTO NOTA DEVOLUCIÓN NOTA DEVOLUCIÓN POR DEPURACIÓN INVENTARIO SEP 25</t>
        </is>
      </c>
    </row>
    <row r="151">
      <c r="C151" s="10" t="inlineStr">
        <is>
          <t>Nota</t>
        </is>
      </c>
      <c r="D151" s="10" t="inlineStr">
        <is>
          <t>NOTA DEVOLUCIÓN</t>
        </is>
      </c>
      <c r="E151" s="6" t="n">
        <v>7052198</v>
      </c>
      <c r="F151" s="10" t="inlineStr">
        <is>
          <t>DESCUENTO</t>
        </is>
      </c>
      <c r="G151" s="10" t="n">
        <v>987</v>
      </c>
      <c r="H151" s="6" t="n">
        <v>7052198</v>
      </c>
      <c r="I151" s="11" t="inlineStr">
        <is>
          <t>DESCUENTO NOTA DEVOLUCIÓN NOTA DEVOLUCIÓN POR DEPURACIÓN INVENTARIO SEP 25</t>
        </is>
      </c>
    </row>
    <row r="152">
      <c r="C152" s="10" t="inlineStr">
        <is>
          <t>Nota</t>
        </is>
      </c>
      <c r="D152" s="10" t="inlineStr">
        <is>
          <t>NOTA DEVOLUCIÓN</t>
        </is>
      </c>
      <c r="E152" s="6" t="n">
        <v>22568987</v>
      </c>
      <c r="F152" s="10" t="inlineStr">
        <is>
          <t>DESCUENTO</t>
        </is>
      </c>
      <c r="G152" s="10" t="n">
        <v>987</v>
      </c>
      <c r="H152" s="6" t="n">
        <v>22568987</v>
      </c>
      <c r="I152" s="11" t="inlineStr">
        <is>
          <t>DESCUENTO NOTA DEVOLUCIÓN NOTA DEVOLUCIÓN POR DEPURACIÓN INVENTARIO SEP 25</t>
        </is>
      </c>
    </row>
    <row r="153">
      <c r="C153" s="10" t="inlineStr">
        <is>
          <t>Nota</t>
        </is>
      </c>
      <c r="D153" s="10" t="inlineStr">
        <is>
          <t>NOTA DEVOLUCIÓN</t>
        </is>
      </c>
      <c r="E153" s="6" t="n">
        <v>97555831</v>
      </c>
      <c r="F153" s="10" t="inlineStr">
        <is>
          <t>DESCUENTO</t>
        </is>
      </c>
      <c r="G153" s="10" t="n">
        <v>987</v>
      </c>
      <c r="H153" s="6" t="n">
        <v>97555831</v>
      </c>
      <c r="I153" s="11" t="inlineStr">
        <is>
          <t>DESCUENTO NOTA DEVOLUCIÓN NOTA DEVOLUCIÓN POR DEPURACIÓN INVENTARIO SEP 25</t>
        </is>
      </c>
    </row>
    <row r="154">
      <c r="C154" s="10" t="inlineStr">
        <is>
          <t>Nota</t>
        </is>
      </c>
      <c r="D154" s="10" t="inlineStr">
        <is>
          <t>nan</t>
        </is>
      </c>
      <c r="E154" s="6" t="n">
        <v>92870144</v>
      </c>
      <c r="F154" s="10" t="inlineStr">
        <is>
          <t>DESCUENTO</t>
        </is>
      </c>
      <c r="G154" s="10" t="n">
        <v>987</v>
      </c>
      <c r="H154" s="6" t="n">
        <v>92870144</v>
      </c>
      <c r="I154" s="11" t="inlineStr">
        <is>
          <t>DESCUENTO nan PSE PLAN SEMANAS EXPLOSIVAS 11-16 AGO 2025</t>
        </is>
      </c>
    </row>
    <row r="155">
      <c r="C155" s="10" t="inlineStr">
        <is>
          <t>Nota</t>
        </is>
      </c>
      <c r="D155" s="10" t="inlineStr">
        <is>
          <t>nan</t>
        </is>
      </c>
      <c r="E155" s="6" t="n">
        <v>32548859</v>
      </c>
      <c r="F155" s="10" t="inlineStr">
        <is>
          <t>DESCUENTO</t>
        </is>
      </c>
      <c r="G155" s="10" t="n">
        <v>987</v>
      </c>
      <c r="H155" s="6" t="n">
        <v>32548859</v>
      </c>
      <c r="I155" s="11" t="inlineStr">
        <is>
          <t>DESCUENTO nan TRASPASO DE REG.A OBS.UNILEVER DIV.E 12.09.2025</t>
        </is>
      </c>
    </row>
    <row r="156">
      <c r="C156" s="10" t="inlineStr">
        <is>
          <t>Nota</t>
        </is>
      </c>
      <c r="D156" s="10" t="inlineStr">
        <is>
          <t>NOTA DEVOLUCIÓN</t>
        </is>
      </c>
      <c r="E156" s="6" t="n">
        <v>3057002</v>
      </c>
      <c r="F156" s="10" t="inlineStr">
        <is>
          <t>DESCUENTO</t>
        </is>
      </c>
      <c r="G156" s="10" t="n">
        <v>987</v>
      </c>
      <c r="H156" s="6" t="n">
        <v>3057002</v>
      </c>
      <c r="I156" s="11" t="inlineStr">
        <is>
          <t>DESCUENTO NOTA DEVOLUCIÓN NOTA DEVOLUCIÓN POR DEPURACIÓN INVENTARIO SEP 25</t>
        </is>
      </c>
    </row>
    <row r="157">
      <c r="C157" s="10" t="inlineStr">
        <is>
          <t>Nota</t>
        </is>
      </c>
      <c r="D157" s="10" t="inlineStr">
        <is>
          <t>PMP1258126</t>
        </is>
      </c>
      <c r="E157" s="6" t="n">
        <v>1395015</v>
      </c>
      <c r="F157" s="10" t="inlineStr">
        <is>
          <t>DESCUENTO</t>
        </is>
      </c>
      <c r="G157" s="10" t="n">
        <v>987</v>
      </c>
      <c r="H157" s="6" t="n">
        <v>1395015</v>
      </c>
      <c r="I157" s="11" t="inlineStr">
        <is>
          <t>DESCUENTO PMP1258126 8 % CONFIDENCIAL UNILEVER</t>
        </is>
      </c>
    </row>
    <row r="158">
      <c r="C158" s="10" t="inlineStr">
        <is>
          <t>Nota</t>
        </is>
      </c>
      <c r="D158" s="10" t="inlineStr">
        <is>
          <t>C. UNILEVER</t>
        </is>
      </c>
      <c r="E158" s="6" t="n">
        <v>2590872</v>
      </c>
      <c r="F158" s="10" t="inlineStr">
        <is>
          <t>DPP NO PROCEDE</t>
        </is>
      </c>
      <c r="G158" s="10" t="inlineStr">
        <is>
          <t>677</t>
        </is>
      </c>
      <c r="H158" s="6" t="n">
        <v>2590872</v>
      </c>
      <c r="I158" s="11" t="inlineStr">
        <is>
          <t>DPP NO PROCEDE C. UNILEVER DCTO 2.00% GLOBAL PAGO ANTICIPADO UNILEVER</t>
        </is>
      </c>
    </row>
    <row r="159">
      <c r="C159" s="10" t="inlineStr">
        <is>
          <t>Nota</t>
        </is>
      </c>
      <c r="D159" s="10" t="inlineStr">
        <is>
          <t>C. UNILEVER</t>
        </is>
      </c>
      <c r="E159" s="6" t="n">
        <v>3554281</v>
      </c>
      <c r="F159" s="10" t="inlineStr">
        <is>
          <t>DPP NO PROCEDE</t>
        </is>
      </c>
      <c r="G159" s="10" t="inlineStr">
        <is>
          <t>677</t>
        </is>
      </c>
      <c r="H159" s="6" t="n">
        <v>3554281</v>
      </c>
      <c r="I159" s="11" t="inlineStr">
        <is>
          <t>DPP NO PROCEDE C. UNILEVER DCTO 2.00% GLOBAL PAGO ANTICIPADO UNILEVER</t>
        </is>
      </c>
    </row>
    <row r="160">
      <c r="C160" s="10" t="inlineStr">
        <is>
          <t>Nota</t>
        </is>
      </c>
      <c r="D160" s="10" t="inlineStr">
        <is>
          <t>C. UNILEVER</t>
        </is>
      </c>
      <c r="E160" s="6" t="n">
        <v>22013501</v>
      </c>
      <c r="F160" s="10" t="inlineStr">
        <is>
          <t>DPP NO PROCEDE</t>
        </is>
      </c>
      <c r="G160" s="10" t="inlineStr">
        <is>
          <t>677</t>
        </is>
      </c>
      <c r="H160" s="6" t="n">
        <v>22013501</v>
      </c>
      <c r="I160" s="11" t="inlineStr">
        <is>
          <t>DPP NO PROCEDE C. UNILEVER DCTO 2.00% GLOBAL PAGO ANTICIPADO UNILEVER</t>
        </is>
      </c>
    </row>
    <row r="161">
      <c r="C161" s="10" t="inlineStr">
        <is>
          <t>Nota</t>
        </is>
      </c>
      <c r="D161" s="10" t="inlineStr">
        <is>
          <t>C. UNILEVER</t>
        </is>
      </c>
      <c r="E161" s="6" t="n">
        <v>2298420</v>
      </c>
      <c r="F161" s="10" t="inlineStr">
        <is>
          <t>DPP NO PROCEDE</t>
        </is>
      </c>
      <c r="G161" s="10" t="inlineStr">
        <is>
          <t>677</t>
        </is>
      </c>
      <c r="H161" s="6" t="n">
        <v>2298420</v>
      </c>
      <c r="I161" s="11" t="inlineStr">
        <is>
          <t>DPP NO PROCEDE C. UNILEVER DCTO 2.00% GLOBAL PAGO ANTICIPADO UNILEVER</t>
        </is>
      </c>
    </row>
    <row r="162">
      <c r="C162" s="10" t="inlineStr">
        <is>
          <t>Nota</t>
        </is>
      </c>
      <c r="D162" s="10" t="inlineStr">
        <is>
          <t>C. UNILEVER</t>
        </is>
      </c>
      <c r="E162" s="6" t="n">
        <v>12995416</v>
      </c>
      <c r="F162" s="10" t="inlineStr">
        <is>
          <t>DPP NO PROCEDE</t>
        </is>
      </c>
      <c r="G162" s="10" t="inlineStr">
        <is>
          <t>677</t>
        </is>
      </c>
      <c r="H162" s="6" t="n">
        <v>12995416</v>
      </c>
      <c r="I162" s="11" t="inlineStr">
        <is>
          <t>DPP NO PROCEDE C. UNILEVER DCTO 2.00% GLOBAL PAGO ANTICIPADO UNILEVER</t>
        </is>
      </c>
    </row>
    <row r="163">
      <c r="C163" s="10" t="inlineStr">
        <is>
          <t>Nota</t>
        </is>
      </c>
      <c r="D163" s="10" t="inlineStr">
        <is>
          <t>C. UNILEVER</t>
        </is>
      </c>
      <c r="E163" s="6" t="n">
        <v>2446928</v>
      </c>
      <c r="F163" s="10" t="inlineStr">
        <is>
          <t>DPP NO PROCEDE</t>
        </is>
      </c>
      <c r="G163" s="10" t="inlineStr">
        <is>
          <t>677</t>
        </is>
      </c>
      <c r="H163" s="6" t="n">
        <v>2446928</v>
      </c>
      <c r="I163" s="11" t="inlineStr">
        <is>
          <t>DPP NO PROCEDE C. UNILEVER DCTO 2.00% GLOBAL PAGO ANTICIPADO UNILEVER</t>
        </is>
      </c>
    </row>
    <row r="164">
      <c r="C164" s="10" t="inlineStr">
        <is>
          <t>Nota</t>
        </is>
      </c>
      <c r="D164" s="10" t="inlineStr">
        <is>
          <t>C. UNILEVER</t>
        </is>
      </c>
      <c r="E164" s="6" t="n">
        <v>1132788</v>
      </c>
      <c r="F164" s="10" t="inlineStr">
        <is>
          <t>DPP NO PROCEDE</t>
        </is>
      </c>
      <c r="G164" s="10" t="inlineStr">
        <is>
          <t>677</t>
        </is>
      </c>
      <c r="H164" s="6" t="n">
        <v>1132788</v>
      </c>
      <c r="I164" s="11" t="inlineStr">
        <is>
          <t>DPP NO PROCEDE C. UNILEVER DCTO 2.00% GLOBAL PAGO ANTICIPADO UNILEVER</t>
        </is>
      </c>
    </row>
    <row r="165">
      <c r="C165" s="10" t="inlineStr">
        <is>
          <t>Nota</t>
        </is>
      </c>
      <c r="D165" s="10" t="inlineStr">
        <is>
          <t>C. UNILEVER</t>
        </is>
      </c>
      <c r="E165" s="6" t="n">
        <v>2862</v>
      </c>
      <c r="F165" s="10" t="inlineStr">
        <is>
          <t>DPP NO PROCEDE</t>
        </is>
      </c>
      <c r="G165" s="10" t="inlineStr">
        <is>
          <t>677</t>
        </is>
      </c>
      <c r="H165" s="6" t="n">
        <v>2862</v>
      </c>
      <c r="I165" s="11" t="inlineStr">
        <is>
          <t>DPP NO PROCEDE C. UNILEVER DCTO 2.00% GLOBAL PAGO ANTICIPADO UNILEVER</t>
        </is>
      </c>
    </row>
    <row r="166">
      <c r="C166" s="10" t="inlineStr">
        <is>
          <t>Nota</t>
        </is>
      </c>
      <c r="D166" s="10" t="inlineStr">
        <is>
          <t>C. UNILEVER</t>
        </is>
      </c>
      <c r="E166" s="6" t="n">
        <v>1424477</v>
      </c>
      <c r="F166" s="10" t="inlineStr">
        <is>
          <t>DPP NO PROCEDE</t>
        </is>
      </c>
      <c r="G166" s="10" t="inlineStr">
        <is>
          <t>677</t>
        </is>
      </c>
      <c r="H166" s="6" t="n">
        <v>1424477</v>
      </c>
      <c r="I166" s="11" t="inlineStr">
        <is>
          <t>DPP NO PROCEDE C. UNILEVER DCTO 2.00% GLOBAL PAGO ANTICIPADO UNILEVER</t>
        </is>
      </c>
    </row>
    <row r="167">
      <c r="C167" s="10" t="inlineStr">
        <is>
          <t>Nota</t>
        </is>
      </c>
      <c r="D167" s="10" t="inlineStr">
        <is>
          <t>C. UNILEVER</t>
        </is>
      </c>
      <c r="E167" s="6" t="n">
        <v>13431150</v>
      </c>
      <c r="F167" s="10" t="inlineStr">
        <is>
          <t>DPP NO PROCEDE</t>
        </is>
      </c>
      <c r="G167" s="10" t="inlineStr">
        <is>
          <t>677</t>
        </is>
      </c>
      <c r="H167" s="6" t="n">
        <v>13431150</v>
      </c>
      <c r="I167" s="11" t="inlineStr">
        <is>
          <t>DPP NO PROCEDE C. UNILEVER DCTO 2.00% GLOBAL PAGO ANTICIPADO UNILEVER</t>
        </is>
      </c>
    </row>
    <row r="168">
      <c r="C168" s="10" t="inlineStr">
        <is>
          <t>Factura Acrededor</t>
        </is>
      </c>
      <c r="D168" s="10" t="inlineStr">
        <is>
          <t>PMP1279354</t>
        </is>
      </c>
      <c r="E168" s="6" t="n">
        <v>-81797675</v>
      </c>
      <c r="F168" s="10" t="inlineStr"/>
      <c r="G168" s="10" t="inlineStr"/>
      <c r="H168" s="6" t="n">
        <v>-81797675</v>
      </c>
      <c r="I168" s="11" t="inlineStr">
        <is>
          <t xml:space="preserve"> PMP1279354 UNILEVER ANDINA COLOMBIA LTDA/CONCILIACION</t>
        </is>
      </c>
    </row>
    <row r="169">
      <c r="C169" s="10" t="inlineStr">
        <is>
          <t>Factura Acrededor</t>
        </is>
      </c>
      <c r="D169" s="10" t="inlineStr">
        <is>
          <t>PMP1280350</t>
        </is>
      </c>
      <c r="E169" s="6" t="n">
        <v>-414714402</v>
      </c>
      <c r="F169" s="10" t="inlineStr"/>
      <c r="G169" s="10" t="inlineStr"/>
      <c r="H169" s="6" t="n">
        <v>-414714402</v>
      </c>
      <c r="I169" s="11" t="inlineStr">
        <is>
          <t xml:space="preserve"> PMP1280350 UNILEVER ANDINA COLOMBIA LTDA // CONCILIACIÓN</t>
        </is>
      </c>
    </row>
    <row r="170">
      <c r="C170" s="10" t="inlineStr">
        <is>
          <t>Factura Acrededor</t>
        </is>
      </c>
      <c r="D170" s="10" t="inlineStr">
        <is>
          <t>PMP1279353</t>
        </is>
      </c>
      <c r="E170" s="6" t="n">
        <v>-1641553</v>
      </c>
      <c r="F170" s="10" t="inlineStr"/>
      <c r="G170" s="10" t="inlineStr"/>
      <c r="H170" s="6" t="n">
        <v>-1641553</v>
      </c>
      <c r="I170" s="11" t="inlineStr">
        <is>
          <t xml:space="preserve"> PMP1279353 UNILEVER ANDINA COLOMBIA LTDA</t>
        </is>
      </c>
    </row>
    <row r="171">
      <c r="C171" s="10" t="inlineStr">
        <is>
          <t>Factura Acrededor</t>
        </is>
      </c>
      <c r="D171" s="10" t="inlineStr">
        <is>
          <t>PMP1256437</t>
        </is>
      </c>
      <c r="E171" s="6" t="n">
        <v>-41148338</v>
      </c>
      <c r="F171" s="10" t="inlineStr"/>
      <c r="G171" s="10" t="inlineStr"/>
      <c r="H171" s="6" t="n">
        <v>-41148338</v>
      </c>
      <c r="I171" s="11" t="inlineStr">
        <is>
          <t xml:space="preserve"> PMP1256437 UNILEVER ANDINA COLOMBIA LTDA/CONCILIACION</t>
        </is>
      </c>
    </row>
    <row r="172">
      <c r="C172" s="10" t="inlineStr">
        <is>
          <t>Factura Acrededor</t>
        </is>
      </c>
      <c r="D172" s="10" t="inlineStr">
        <is>
          <t>PMP1271667</t>
        </is>
      </c>
      <c r="E172" s="6" t="n">
        <v>-2153357</v>
      </c>
      <c r="F172" s="10" t="inlineStr"/>
      <c r="G172" s="10" t="inlineStr"/>
      <c r="H172" s="6" t="n">
        <v>-2153357</v>
      </c>
      <c r="I172" s="11" t="inlineStr">
        <is>
          <t xml:space="preserve"> PMP1271667 UNILEVER ANDINA COLOMBIA LTDA/CONCILIACION</t>
        </is>
      </c>
    </row>
    <row r="173">
      <c r="C173" s="10" t="inlineStr">
        <is>
          <t>Factura Acrededor</t>
        </is>
      </c>
      <c r="D173" s="10" t="inlineStr">
        <is>
          <t>PMP1273593</t>
        </is>
      </c>
      <c r="E173" s="6" t="n">
        <v>-19023510</v>
      </c>
      <c r="F173" s="10" t="inlineStr"/>
      <c r="G173" s="10" t="inlineStr"/>
      <c r="H173" s="6" t="n">
        <v>-19023510</v>
      </c>
      <c r="I173" s="11" t="inlineStr">
        <is>
          <t xml:space="preserve"> PMP1273593 UNILEVER ANDINA COLOMBIA LTDA</t>
        </is>
      </c>
    </row>
    <row r="174">
      <c r="C174" s="10" t="inlineStr">
        <is>
          <t>Factura Acrededor</t>
        </is>
      </c>
      <c r="D174" s="10" t="inlineStr">
        <is>
          <t>PMP1279355</t>
        </is>
      </c>
      <c r="E174" s="6" t="n">
        <v>-179751572</v>
      </c>
      <c r="F174" s="10" t="inlineStr"/>
      <c r="G174" s="10" t="inlineStr"/>
      <c r="H174" s="6" t="n">
        <v>-179751572</v>
      </c>
      <c r="I174" s="11" t="inlineStr">
        <is>
          <t xml:space="preserve"> PMP1279355 UNILEVER ANDINA COLOMBIA LTDA/CONCILIAICION</t>
        </is>
      </c>
    </row>
    <row r="175">
      <c r="C175" s="10" t="inlineStr">
        <is>
          <t>Factura Acrededor</t>
        </is>
      </c>
      <c r="D175" s="10" t="inlineStr">
        <is>
          <t>PMP1276953</t>
        </is>
      </c>
      <c r="E175" s="6" t="n">
        <v>-33627621</v>
      </c>
      <c r="F175" s="10" t="inlineStr"/>
      <c r="G175" s="10" t="inlineStr"/>
      <c r="H175" s="6" t="n">
        <v>-33627621</v>
      </c>
      <c r="I175" s="11" t="inlineStr">
        <is>
          <t xml:space="preserve"> PMP1276953 UNILEVER ANDINA COLOMBIA LTDA/CONCILIACION</t>
        </is>
      </c>
    </row>
    <row r="176">
      <c r="C176" s="10" t="inlineStr">
        <is>
          <t>Factura Acrededor</t>
        </is>
      </c>
      <c r="D176" s="10" t="inlineStr">
        <is>
          <t>PMP1276956</t>
        </is>
      </c>
      <c r="E176" s="6" t="n">
        <v>-48295385</v>
      </c>
      <c r="F176" s="10" t="inlineStr"/>
      <c r="G176" s="10" t="inlineStr"/>
      <c r="H176" s="6" t="n">
        <v>-48295385</v>
      </c>
      <c r="I176" s="11" t="inlineStr">
        <is>
          <t xml:space="preserve"> PMP1276956 UNILEVER ANDINA COLOMBIA LTDA/CONCILIACION</t>
        </is>
      </c>
    </row>
    <row r="177">
      <c r="C177" s="10" t="inlineStr">
        <is>
          <t>Factura Acrededor</t>
        </is>
      </c>
      <c r="D177" s="10" t="inlineStr">
        <is>
          <t>PMP1277189</t>
        </is>
      </c>
      <c r="E177" s="6" t="n">
        <v>-1700668</v>
      </c>
      <c r="F177" s="10" t="inlineStr"/>
      <c r="G177" s="10" t="inlineStr"/>
      <c r="H177" s="6" t="n">
        <v>-1700668</v>
      </c>
      <c r="I177" s="11" t="inlineStr">
        <is>
          <t xml:space="preserve"> PMP1277189 UNILEVER ANDINA COLOMBIA LTDA</t>
        </is>
      </c>
    </row>
    <row r="178">
      <c r="C178" s="10" t="inlineStr">
        <is>
          <t>Factura Acrededor</t>
        </is>
      </c>
      <c r="D178" s="10" t="inlineStr">
        <is>
          <t>PMP1279349</t>
        </is>
      </c>
      <c r="E178" s="6" t="n">
        <v>-2218894</v>
      </c>
      <c r="F178" s="10" t="inlineStr"/>
      <c r="G178" s="10" t="inlineStr"/>
      <c r="H178" s="6" t="n">
        <v>-2218894</v>
      </c>
      <c r="I178" s="11" t="inlineStr">
        <is>
          <t xml:space="preserve"> PMP1279349 UNILEVER ANDINA COLOMBIA LTDA</t>
        </is>
      </c>
    </row>
    <row r="179">
      <c r="C179" s="10" t="inlineStr">
        <is>
          <t>Factura Acrededor</t>
        </is>
      </c>
      <c r="D179" s="10" t="inlineStr">
        <is>
          <t>PMP1276988</t>
        </is>
      </c>
      <c r="E179" s="6" t="n">
        <v>-111183834</v>
      </c>
      <c r="F179" s="10" t="inlineStr"/>
      <c r="G179" s="10" t="inlineStr"/>
      <c r="H179" s="6" t="n">
        <v>-111183834</v>
      </c>
      <c r="I179" s="11" t="inlineStr">
        <is>
          <t xml:space="preserve"> PMP1276988 UNILEVER ANDINA COLOMBIA LTDA/CONCILIACION</t>
        </is>
      </c>
    </row>
    <row r="180">
      <c r="C180" s="10" t="inlineStr">
        <is>
          <t>Factura Acrededor</t>
        </is>
      </c>
      <c r="D180" s="10" t="inlineStr">
        <is>
          <t>PMP1273879</t>
        </is>
      </c>
      <c r="E180" s="6" t="n">
        <v>-373927580</v>
      </c>
      <c r="F180" s="10" t="inlineStr"/>
      <c r="G180" s="10" t="inlineStr"/>
      <c r="H180" s="6" t="n">
        <v>-373927580</v>
      </c>
      <c r="I180" s="11" t="inlineStr">
        <is>
          <t xml:space="preserve"> PMP1273879 UNILEVER ANDINA COLOMBIA LTDA/CONCILIACION</t>
        </is>
      </c>
    </row>
    <row r="181">
      <c r="C181" s="10" t="inlineStr">
        <is>
          <t>Factura Acrededor</t>
        </is>
      </c>
      <c r="D181" s="10" t="inlineStr">
        <is>
          <t>PMP1276959</t>
        </is>
      </c>
      <c r="E181" s="6" t="n">
        <v>-8759113</v>
      </c>
      <c r="F181" s="10" t="inlineStr"/>
      <c r="G181" s="10" t="inlineStr"/>
      <c r="H181" s="6" t="n">
        <v>-8759113</v>
      </c>
      <c r="I181" s="11" t="inlineStr">
        <is>
          <t xml:space="preserve"> PMP1276959 UNILEVER ANDINA COLOMBIA LTDA</t>
        </is>
      </c>
    </row>
    <row r="182">
      <c r="C182" s="10" t="inlineStr">
        <is>
          <t>Factura Acrededor</t>
        </is>
      </c>
      <c r="D182" s="10" t="inlineStr">
        <is>
          <t>PMP1271665</t>
        </is>
      </c>
      <c r="E182" s="6" t="n">
        <v>-19764893</v>
      </c>
      <c r="F182" s="10" t="inlineStr"/>
      <c r="G182" s="10" t="inlineStr"/>
      <c r="H182" s="6" t="n">
        <v>-19764893</v>
      </c>
      <c r="I182" s="11" t="inlineStr">
        <is>
          <t xml:space="preserve"> PMP1271665 UNILEVER ANDINA COLOMBIA LTDA/CONCILIACION</t>
        </is>
      </c>
    </row>
    <row r="183">
      <c r="C183" s="10" t="inlineStr">
        <is>
          <t>Factura Acrededor</t>
        </is>
      </c>
      <c r="D183" s="10" t="inlineStr">
        <is>
          <t>PMP1273115</t>
        </is>
      </c>
      <c r="E183" s="6" t="n">
        <v>-73027375</v>
      </c>
      <c r="F183" s="10" t="inlineStr"/>
      <c r="G183" s="10" t="inlineStr"/>
      <c r="H183" s="6" t="n">
        <v>-73027375</v>
      </c>
      <c r="I183" s="11" t="inlineStr">
        <is>
          <t xml:space="preserve"> PMP1273115 UNILEVER ANDINA COLOMBIA LTDA</t>
        </is>
      </c>
    </row>
    <row r="184">
      <c r="C184" s="10" t="inlineStr">
        <is>
          <t>Factura Acrededor</t>
        </is>
      </c>
      <c r="D184" s="10" t="inlineStr">
        <is>
          <t>PMP1270676</t>
        </is>
      </c>
      <c r="E184" s="6" t="n">
        <v>-9049701</v>
      </c>
      <c r="F184" s="10" t="inlineStr"/>
      <c r="G184" s="10" t="inlineStr"/>
      <c r="H184" s="6" t="n">
        <v>-9049701</v>
      </c>
      <c r="I184" s="11" t="inlineStr">
        <is>
          <t xml:space="preserve"> PMP1270676 UNILEVER ANDINA COLOMBIA LTDA</t>
        </is>
      </c>
    </row>
    <row r="185">
      <c r="C185" s="10" t="inlineStr">
        <is>
          <t>Factura Acrededor</t>
        </is>
      </c>
      <c r="D185" s="10" t="inlineStr">
        <is>
          <t>PMP1270678</t>
        </is>
      </c>
      <c r="E185" s="6" t="n">
        <v>-13476882</v>
      </c>
      <c r="F185" s="10" t="inlineStr"/>
      <c r="G185" s="10" t="inlineStr"/>
      <c r="H185" s="6" t="n">
        <v>-13476882</v>
      </c>
      <c r="I185" s="11" t="inlineStr">
        <is>
          <t xml:space="preserve"> PMP1270678 UNILEVER ANDINA COLOMBIA LTDA</t>
        </is>
      </c>
    </row>
    <row r="186">
      <c r="C186" s="10" t="inlineStr">
        <is>
          <t>Factura Acrededor</t>
        </is>
      </c>
      <c r="D186" s="10" t="inlineStr">
        <is>
          <t>PMP1277185</t>
        </is>
      </c>
      <c r="E186" s="6" t="n">
        <v>-28536891</v>
      </c>
      <c r="F186" s="10" t="inlineStr"/>
      <c r="G186" s="10" t="inlineStr"/>
      <c r="H186" s="6" t="n">
        <v>-28536891</v>
      </c>
      <c r="I186" s="11" t="inlineStr">
        <is>
          <t xml:space="preserve"> PMP1277185 UNILEVER ANDINA COLOMBIA LTDA</t>
        </is>
      </c>
    </row>
    <row r="187">
      <c r="C187" s="10" t="inlineStr">
        <is>
          <t>Factura Acrededor</t>
        </is>
      </c>
      <c r="D187" s="10" t="inlineStr">
        <is>
          <t>PMP1273594</t>
        </is>
      </c>
      <c r="E187" s="6" t="n">
        <v>-96946690</v>
      </c>
      <c r="F187" s="10" t="inlineStr"/>
      <c r="G187" s="10" t="inlineStr"/>
      <c r="H187" s="6" t="n">
        <v>-96946690</v>
      </c>
      <c r="I187" s="11" t="inlineStr">
        <is>
          <t xml:space="preserve"> PMP1273594 UNILEVER ANDINA COLOMBIA LTDA</t>
        </is>
      </c>
    </row>
    <row r="188">
      <c r="C188" s="10" t="inlineStr">
        <is>
          <t>Factura Acrededor</t>
        </is>
      </c>
      <c r="D188" s="10" t="inlineStr">
        <is>
          <t>PMP1273864</t>
        </is>
      </c>
      <c r="E188" s="6" t="n">
        <v>-41410343</v>
      </c>
      <c r="F188" s="10" t="inlineStr"/>
      <c r="G188" s="10" t="inlineStr"/>
      <c r="H188" s="6" t="n">
        <v>-41410343</v>
      </c>
      <c r="I188" s="11" t="inlineStr">
        <is>
          <t xml:space="preserve"> PMP1273864 </t>
        </is>
      </c>
    </row>
    <row r="189">
      <c r="C189" s="10" t="inlineStr">
        <is>
          <t>Factura Acrededor</t>
        </is>
      </c>
      <c r="D189" s="10" t="inlineStr">
        <is>
          <t>PMP1274135</t>
        </is>
      </c>
      <c r="E189" s="6" t="n">
        <v>-38485985</v>
      </c>
      <c r="F189" s="10" t="inlineStr"/>
      <c r="G189" s="10" t="inlineStr"/>
      <c r="H189" s="6" t="n">
        <v>-38485985</v>
      </c>
      <c r="I189" s="11" t="inlineStr">
        <is>
          <t xml:space="preserve"> PMP1274135 UNILEVER ANDINA COLOMBIA LTDA</t>
        </is>
      </c>
    </row>
    <row r="190">
      <c r="C190" s="10" t="inlineStr">
        <is>
          <t>Factura Acrededor</t>
        </is>
      </c>
      <c r="D190" s="10" t="inlineStr">
        <is>
          <t>PMP1276993</t>
        </is>
      </c>
      <c r="E190" s="6" t="n">
        <v>-24310076</v>
      </c>
      <c r="F190" s="10" t="inlineStr"/>
      <c r="G190" s="10" t="inlineStr"/>
      <c r="H190" s="6" t="n">
        <v>-24310076</v>
      </c>
      <c r="I190" s="11" t="inlineStr">
        <is>
          <t xml:space="preserve"> PMP1276993 UNILEVER ANDINA COLOMBIA LTDA</t>
        </is>
      </c>
    </row>
    <row r="191">
      <c r="C191" s="10" t="inlineStr">
        <is>
          <t>Factura Acrededor</t>
        </is>
      </c>
      <c r="D191" s="10" t="inlineStr">
        <is>
          <t>PMP1277184</t>
        </is>
      </c>
      <c r="E191" s="6" t="n">
        <v>-28562913</v>
      </c>
      <c r="F191" s="10" t="inlineStr"/>
      <c r="G191" s="10" t="inlineStr"/>
      <c r="H191" s="6" t="n">
        <v>-28562913</v>
      </c>
      <c r="I191" s="11" t="inlineStr">
        <is>
          <t xml:space="preserve"> PMP1277184 UNILEVER ANDINA COLOMBIA LTDA</t>
        </is>
      </c>
    </row>
    <row r="192">
      <c r="C192" s="10" t="inlineStr">
        <is>
          <t>Factura Acrededor</t>
        </is>
      </c>
      <c r="D192" s="10" t="inlineStr">
        <is>
          <t>PMP1277142</t>
        </is>
      </c>
      <c r="E192" s="6" t="n">
        <v>-334587580</v>
      </c>
      <c r="F192" s="10" t="inlineStr"/>
      <c r="G192" s="10" t="inlineStr"/>
      <c r="H192" s="6" t="n">
        <v>-334587580</v>
      </c>
      <c r="I192" s="11" t="inlineStr">
        <is>
          <t xml:space="preserve"> PMP1277142 UNILEVER ANDINA COLOMBIA LTDA/CONCILIACION</t>
        </is>
      </c>
    </row>
    <row r="193">
      <c r="C193" s="10" t="inlineStr">
        <is>
          <t>Factura Acrededor</t>
        </is>
      </c>
      <c r="D193" s="10" t="inlineStr">
        <is>
          <t>PMP1273388</t>
        </is>
      </c>
      <c r="E193" s="6" t="n">
        <v>-32787000</v>
      </c>
      <c r="F193" s="10" t="inlineStr"/>
      <c r="G193" s="10" t="inlineStr"/>
      <c r="H193" s="6" t="n">
        <v>-32787000</v>
      </c>
      <c r="I193" s="11" t="inlineStr">
        <is>
          <t xml:space="preserve"> PMP1273388 UNILEVER ANDINA COLOMBIA LTDA</t>
        </is>
      </c>
    </row>
    <row r="194">
      <c r="C194" s="10" t="inlineStr">
        <is>
          <t>Factura Acrededor</t>
        </is>
      </c>
      <c r="D194" s="10" t="inlineStr">
        <is>
          <t>PMP1277209</t>
        </is>
      </c>
      <c r="E194" s="6" t="n">
        <v>-40413563</v>
      </c>
      <c r="F194" s="10" t="inlineStr"/>
      <c r="G194" s="10" t="inlineStr"/>
      <c r="H194" s="6" t="n">
        <v>-40413563</v>
      </c>
      <c r="I194" s="11" t="inlineStr">
        <is>
          <t xml:space="preserve"> PMP1277209 UNILEVER ANDINA COLOMBIA LTDA</t>
        </is>
      </c>
    </row>
    <row r="195">
      <c r="C195" s="10" t="inlineStr">
        <is>
          <t>Factura Acrededor</t>
        </is>
      </c>
      <c r="D195" s="10" t="inlineStr">
        <is>
          <t>PMP1276669</t>
        </is>
      </c>
      <c r="E195" s="6" t="n">
        <v>-18919275</v>
      </c>
      <c r="F195" s="10" t="inlineStr"/>
      <c r="G195" s="10" t="inlineStr"/>
      <c r="H195" s="6" t="n">
        <v>-18919275</v>
      </c>
      <c r="I195" s="11" t="inlineStr">
        <is>
          <t xml:space="preserve"> PMP1276669 </t>
        </is>
      </c>
    </row>
    <row r="196">
      <c r="C196" s="10" t="inlineStr">
        <is>
          <t>Factura Acrededor</t>
        </is>
      </c>
      <c r="D196" s="10" t="inlineStr">
        <is>
          <t>PMP1277138</t>
        </is>
      </c>
      <c r="E196" s="6" t="n">
        <v>-25908600</v>
      </c>
      <c r="F196" s="10" t="inlineStr"/>
      <c r="G196" s="10" t="inlineStr"/>
      <c r="H196" s="6" t="n">
        <v>-25908600</v>
      </c>
      <c r="I196" s="11" t="inlineStr">
        <is>
          <t xml:space="preserve"> PMP1277138 UNILEVER ANDINA COLOMBIA LTDA</t>
        </is>
      </c>
    </row>
    <row r="197">
      <c r="C197" s="10" t="inlineStr">
        <is>
          <t>Factura Acrededor</t>
        </is>
      </c>
      <c r="D197" s="10" t="inlineStr">
        <is>
          <t>PMP1279348</t>
        </is>
      </c>
      <c r="E197" s="6" t="n">
        <v>-49430226</v>
      </c>
      <c r="F197" s="10" t="inlineStr"/>
      <c r="G197" s="10" t="inlineStr"/>
      <c r="H197" s="6" t="n">
        <v>-49430226</v>
      </c>
      <c r="I197" s="11" t="inlineStr">
        <is>
          <t xml:space="preserve"> PMP1279348 UNILEVER ANDINA COLOMBIA LTD/conciliacion</t>
        </is>
      </c>
    </row>
    <row r="198">
      <c r="C198" s="10" t="inlineStr">
        <is>
          <t>Factura Acrededor</t>
        </is>
      </c>
      <c r="D198" s="10" t="inlineStr">
        <is>
          <t>PMP1274139</t>
        </is>
      </c>
      <c r="E198" s="6" t="n">
        <v>-10136444</v>
      </c>
      <c r="F198" s="10" t="inlineStr"/>
      <c r="G198" s="10" t="inlineStr"/>
      <c r="H198" s="6" t="n">
        <v>-10136444</v>
      </c>
      <c r="I198" s="11" t="inlineStr">
        <is>
          <t xml:space="preserve"> PMP1274139 UNILEVER ANDINA COLOMBIA LTDA</t>
        </is>
      </c>
    </row>
    <row r="199">
      <c r="C199" s="10" t="inlineStr">
        <is>
          <t>Factura Acrededor</t>
        </is>
      </c>
      <c r="D199" s="10" t="inlineStr">
        <is>
          <t>PMP1273117</t>
        </is>
      </c>
      <c r="E199" s="6" t="n">
        <v>-17313168</v>
      </c>
      <c r="F199" s="10" t="inlineStr"/>
      <c r="G199" s="10" t="inlineStr"/>
      <c r="H199" s="6" t="n">
        <v>-17313168</v>
      </c>
      <c r="I199" s="11" t="inlineStr">
        <is>
          <t xml:space="preserve"> PMP1273117 UNILEVER ANDINA COLOMBIA LTDA</t>
        </is>
      </c>
    </row>
    <row r="200">
      <c r="C200" s="10" t="inlineStr">
        <is>
          <t>Factura Acrededor</t>
        </is>
      </c>
      <c r="D200" s="10" t="inlineStr">
        <is>
          <t>PMP1273387</t>
        </is>
      </c>
      <c r="E200" s="6" t="n">
        <v>-2852740</v>
      </c>
      <c r="F200" s="10" t="inlineStr"/>
      <c r="G200" s="10" t="inlineStr"/>
      <c r="H200" s="6" t="n">
        <v>-2852740</v>
      </c>
      <c r="I200" s="11" t="inlineStr">
        <is>
          <t xml:space="preserve"> PMP1273387 UNILEVER ANDINA COLOMBIA LTDA</t>
        </is>
      </c>
    </row>
    <row r="201">
      <c r="C201" s="10" t="inlineStr">
        <is>
          <t>Factura Acrededor</t>
        </is>
      </c>
      <c r="D201" s="10" t="inlineStr">
        <is>
          <t>PMP1273860</t>
        </is>
      </c>
      <c r="E201" s="6" t="n">
        <v>-16083211</v>
      </c>
      <c r="F201" s="10" t="inlineStr"/>
      <c r="G201" s="10" t="inlineStr"/>
      <c r="H201" s="6" t="n">
        <v>-16083211</v>
      </c>
      <c r="I201" s="11" t="inlineStr">
        <is>
          <t xml:space="preserve"> PMP1273860 </t>
        </is>
      </c>
    </row>
    <row r="202">
      <c r="C202" s="10" t="inlineStr">
        <is>
          <t>Factura Acrededor</t>
        </is>
      </c>
      <c r="D202" s="10" t="inlineStr">
        <is>
          <t>PMP1273597</t>
        </is>
      </c>
      <c r="E202" s="6" t="n">
        <v>-3508463</v>
      </c>
      <c r="F202" s="10" t="inlineStr"/>
      <c r="G202" s="10" t="inlineStr"/>
      <c r="H202" s="6" t="n">
        <v>-3508463</v>
      </c>
      <c r="I202" s="11" t="inlineStr">
        <is>
          <t xml:space="preserve"> PMP1273597 UNILEVER ANDINA COLOMBIA LTDA</t>
        </is>
      </c>
    </row>
    <row r="203">
      <c r="C203" s="10" t="inlineStr">
        <is>
          <t>Factura Acrededor</t>
        </is>
      </c>
      <c r="D203" s="10" t="inlineStr">
        <is>
          <t>PMP1276672</t>
        </is>
      </c>
      <c r="E203" s="6" t="n">
        <v>-223440</v>
      </c>
      <c r="F203" s="10" t="inlineStr"/>
      <c r="G203" s="10" t="inlineStr"/>
      <c r="H203" s="6" t="n">
        <v>-223440</v>
      </c>
      <c r="I203" s="11" t="inlineStr">
        <is>
          <t xml:space="preserve"> PMP1276672 </t>
        </is>
      </c>
    </row>
    <row r="204">
      <c r="C204" s="10" t="inlineStr">
        <is>
          <t>Factura Acrededor</t>
        </is>
      </c>
      <c r="D204" s="10" t="inlineStr">
        <is>
          <t>PMP1273862</t>
        </is>
      </c>
      <c r="E204" s="6" t="n">
        <v>-8425405</v>
      </c>
      <c r="F204" s="10" t="inlineStr"/>
      <c r="G204" s="10" t="inlineStr"/>
      <c r="H204" s="6" t="n">
        <v>-8425405</v>
      </c>
      <c r="I204" s="11" t="inlineStr">
        <is>
          <t xml:space="preserve"> PMP1273862 </t>
        </is>
      </c>
    </row>
    <row r="205">
      <c r="C205" s="10" t="inlineStr">
        <is>
          <t>Factura Acrededor</t>
        </is>
      </c>
      <c r="D205" s="10" t="inlineStr">
        <is>
          <t>PMP1276666</t>
        </is>
      </c>
      <c r="E205" s="6" t="n">
        <v>-64246828</v>
      </c>
      <c r="F205" s="10" t="inlineStr"/>
      <c r="G205" s="10" t="inlineStr"/>
      <c r="H205" s="6" t="n">
        <v>-64246828</v>
      </c>
      <c r="I205" s="11" t="inlineStr">
        <is>
          <t xml:space="preserve"> PMP1276666 </t>
        </is>
      </c>
    </row>
    <row r="206">
      <c r="C206" s="10" t="inlineStr">
        <is>
          <t>Factura Acrededor</t>
        </is>
      </c>
      <c r="D206" s="10" t="inlineStr">
        <is>
          <t>PMP1273595</t>
        </is>
      </c>
      <c r="E206" s="6" t="n">
        <v>-24210626</v>
      </c>
      <c r="F206" s="10" t="inlineStr"/>
      <c r="G206" s="10" t="inlineStr"/>
      <c r="H206" s="6" t="n">
        <v>-24210626</v>
      </c>
      <c r="I206" s="11" t="inlineStr">
        <is>
          <t xml:space="preserve"> PMP1273595 UNILEVER ANDINA COLOMBIA LTDA</t>
        </is>
      </c>
    </row>
    <row r="207">
      <c r="C207" s="10" t="inlineStr">
        <is>
          <t>Factura Acrededor</t>
        </is>
      </c>
      <c r="D207" s="10" t="inlineStr">
        <is>
          <t>PMP1273859</t>
        </is>
      </c>
      <c r="E207" s="6" t="n">
        <v>-1170097</v>
      </c>
      <c r="F207" s="10" t="inlineStr"/>
      <c r="G207" s="10" t="inlineStr"/>
      <c r="H207" s="6" t="n">
        <v>-1170097</v>
      </c>
      <c r="I207" s="11" t="inlineStr">
        <is>
          <t xml:space="preserve"> PMP1273859 </t>
        </is>
      </c>
    </row>
    <row r="208">
      <c r="C208" s="10" t="inlineStr">
        <is>
          <t>Factura Acrededor</t>
        </is>
      </c>
      <c r="D208" s="10" t="inlineStr">
        <is>
          <t>PMP1273389</t>
        </is>
      </c>
      <c r="E208" s="6" t="n">
        <v>-39255388</v>
      </c>
      <c r="F208" s="10" t="inlineStr"/>
      <c r="G208" s="10" t="inlineStr"/>
      <c r="H208" s="6" t="n">
        <v>-39255388</v>
      </c>
      <c r="I208" s="11" t="inlineStr">
        <is>
          <t xml:space="preserve"> PMP1273389 UNILEVER ANDINA COLOMBIA LTDA</t>
        </is>
      </c>
    </row>
    <row r="209">
      <c r="C209" s="10" t="inlineStr">
        <is>
          <t>Factura Acrededor</t>
        </is>
      </c>
      <c r="D209" s="10" t="inlineStr">
        <is>
          <t>PMP1276668</t>
        </is>
      </c>
      <c r="E209" s="6" t="n">
        <v>-65729254</v>
      </c>
      <c r="F209" s="10" t="inlineStr"/>
      <c r="G209" s="10" t="inlineStr"/>
      <c r="H209" s="6" t="n">
        <v>-65729254</v>
      </c>
      <c r="I209" s="11" t="inlineStr">
        <is>
          <t xml:space="preserve"> PMP1276668 </t>
        </is>
      </c>
    </row>
    <row r="210">
      <c r="C210" s="10" t="inlineStr">
        <is>
          <t>Factura Acrededor</t>
        </is>
      </c>
      <c r="D210" s="10" t="inlineStr">
        <is>
          <t>PMP1276670</t>
        </is>
      </c>
      <c r="E210" s="6" t="n">
        <v>-8387269</v>
      </c>
      <c r="F210" s="10" t="inlineStr"/>
      <c r="G210" s="10" t="inlineStr"/>
      <c r="H210" s="6" t="n">
        <v>-8387269</v>
      </c>
      <c r="I210" s="11" t="inlineStr">
        <is>
          <t xml:space="preserve"> PMP1276670 </t>
        </is>
      </c>
    </row>
    <row r="211">
      <c r="C211" s="10" t="inlineStr">
        <is>
          <t>Factura Acrededor</t>
        </is>
      </c>
      <c r="D211" s="10" t="inlineStr">
        <is>
          <t>PMP1277208</t>
        </is>
      </c>
      <c r="E211" s="6" t="n">
        <v>-78132541</v>
      </c>
      <c r="F211" s="10" t="inlineStr"/>
      <c r="G211" s="10" t="inlineStr"/>
      <c r="H211" s="6" t="n">
        <v>-78132541</v>
      </c>
      <c r="I211" s="11" t="inlineStr">
        <is>
          <t xml:space="preserve"> PMP1277208 UNILEVER ANDINA COLOMBIA LTDA</t>
        </is>
      </c>
    </row>
    <row r="212">
      <c r="C212" s="10" t="inlineStr">
        <is>
          <t>Factura Acrededor</t>
        </is>
      </c>
      <c r="D212" s="10" t="inlineStr">
        <is>
          <t>PMP1277206</t>
        </is>
      </c>
      <c r="E212" s="6" t="n">
        <v>-1564079</v>
      </c>
      <c r="F212" s="10" t="inlineStr"/>
      <c r="G212" s="10" t="inlineStr"/>
      <c r="H212" s="6" t="n">
        <v>-1564079</v>
      </c>
      <c r="I212" s="11" t="inlineStr">
        <is>
          <t xml:space="preserve"> PMP1277206 UNILEVER ANDINA COLOMBIA LTDA</t>
        </is>
      </c>
    </row>
    <row r="213">
      <c r="C213" s="10" t="inlineStr">
        <is>
          <t>Factura Acrededor</t>
        </is>
      </c>
      <c r="D213" s="10" t="inlineStr">
        <is>
          <t>PMP1273384</t>
        </is>
      </c>
      <c r="E213" s="6" t="n">
        <v>-24381931</v>
      </c>
      <c r="F213" s="10" t="inlineStr"/>
      <c r="G213" s="10" t="inlineStr"/>
      <c r="H213" s="6" t="n">
        <v>-24381931</v>
      </c>
      <c r="I213" s="11" t="inlineStr">
        <is>
          <t xml:space="preserve"> PMP1273384 UNILEVER ANDINA COLOMBIA LTDA</t>
        </is>
      </c>
    </row>
    <row r="214">
      <c r="C214" s="10" t="inlineStr">
        <is>
          <t>Factura Acrededor</t>
        </is>
      </c>
      <c r="D214" s="10" t="inlineStr">
        <is>
          <t>PMP1277207</t>
        </is>
      </c>
      <c r="E214" s="6" t="n">
        <v>-8474845</v>
      </c>
      <c r="F214" s="10" t="inlineStr"/>
      <c r="G214" s="10" t="inlineStr"/>
      <c r="H214" s="6" t="n">
        <v>-8474845</v>
      </c>
      <c r="I214" s="11" t="inlineStr">
        <is>
          <t xml:space="preserve"> PMP1277207 UNILEVER ANDINA COLOMBIA LTDA</t>
        </is>
      </c>
    </row>
    <row r="215">
      <c r="C215" s="10" t="inlineStr">
        <is>
          <t>Factura Acrededor</t>
        </is>
      </c>
      <c r="D215" s="10" t="inlineStr">
        <is>
          <t>PMP1277203</t>
        </is>
      </c>
      <c r="E215" s="6" t="n">
        <v>-68599803</v>
      </c>
      <c r="F215" s="10" t="inlineStr"/>
      <c r="G215" s="10" t="inlineStr"/>
      <c r="H215" s="6" t="n">
        <v>-68599803</v>
      </c>
      <c r="I215" s="11" t="inlineStr">
        <is>
          <t xml:space="preserve"> PMP1277203 UNILEVER ANDINA COLOMBIA LTDA</t>
        </is>
      </c>
    </row>
    <row r="216">
      <c r="C216" s="10" t="inlineStr">
        <is>
          <t>Factura Acrededor</t>
        </is>
      </c>
      <c r="D216" s="10" t="inlineStr">
        <is>
          <t>PMP1274134</t>
        </is>
      </c>
      <c r="E216" s="6" t="n">
        <v>-263568</v>
      </c>
      <c r="F216" s="10" t="inlineStr"/>
      <c r="G216" s="10" t="inlineStr"/>
      <c r="H216" s="6" t="n">
        <v>-263568</v>
      </c>
      <c r="I216" s="11" t="inlineStr">
        <is>
          <t xml:space="preserve"> PMP1274134 UNILEVER ANDINA COLOMBIA LTDA</t>
        </is>
      </c>
    </row>
    <row r="217">
      <c r="C217" s="10" t="inlineStr">
        <is>
          <t>Factura Acrededor</t>
        </is>
      </c>
      <c r="D217" s="10" t="inlineStr">
        <is>
          <t>PMP1276673</t>
        </is>
      </c>
      <c r="E217" s="6" t="n">
        <v>-2457840</v>
      </c>
      <c r="F217" s="10" t="inlineStr"/>
      <c r="G217" s="10" t="inlineStr"/>
      <c r="H217" s="6" t="n">
        <v>-2457840</v>
      </c>
      <c r="I217" s="11" t="inlineStr">
        <is>
          <t xml:space="preserve"> PMP1276673 </t>
        </is>
      </c>
    </row>
    <row r="218">
      <c r="C218" s="10" t="inlineStr">
        <is>
          <t>Factura Acrededor</t>
        </is>
      </c>
      <c r="D218" s="10" t="inlineStr">
        <is>
          <t>PMP1273876</t>
        </is>
      </c>
      <c r="E218" s="6" t="n">
        <v>-127732363</v>
      </c>
      <c r="F218" s="10" t="inlineStr"/>
      <c r="G218" s="10" t="inlineStr"/>
      <c r="H218" s="6" t="n">
        <v>-127732363</v>
      </c>
      <c r="I218" s="11" t="inlineStr">
        <is>
          <t xml:space="preserve"> PMP1273876 UNILEVER ANDINA COLOMBIA LTDA // CONCILIACIÓN</t>
        </is>
      </c>
    </row>
    <row r="219">
      <c r="C219" s="10" t="inlineStr">
        <is>
          <t>Factura Acrededor</t>
        </is>
      </c>
      <c r="D219" s="10" t="inlineStr">
        <is>
          <t>PMP1277143</t>
        </is>
      </c>
      <c r="E219" s="6" t="n">
        <v>-357532623</v>
      </c>
      <c r="F219" s="10" t="inlineStr"/>
      <c r="G219" s="10" t="inlineStr"/>
      <c r="H219" s="6" t="n">
        <v>-357532623</v>
      </c>
      <c r="I219" s="11" t="inlineStr">
        <is>
          <t xml:space="preserve"> PMP1277143 UNILEVER ANDINA COLOMBIA LTDA/CONCILIACION</t>
        </is>
      </c>
    </row>
    <row r="220">
      <c r="C220" s="10" t="inlineStr">
        <is>
          <t>Factura Acrededor</t>
        </is>
      </c>
      <c r="D220" s="10" t="inlineStr">
        <is>
          <t>PMP1270675</t>
        </is>
      </c>
      <c r="E220" s="6" t="n">
        <v>-24199485</v>
      </c>
      <c r="F220" s="10" t="inlineStr"/>
      <c r="G220" s="10" t="inlineStr"/>
      <c r="H220" s="6" t="n">
        <v>-24199485</v>
      </c>
      <c r="I220" s="11" t="inlineStr">
        <is>
          <t xml:space="preserve"> PMP1270675 UNILEVER ANDINA COLOMBIA LTDA</t>
        </is>
      </c>
    </row>
    <row r="221">
      <c r="C221" s="10" t="inlineStr">
        <is>
          <t>Factura Acrededor</t>
        </is>
      </c>
      <c r="D221" s="10" t="inlineStr">
        <is>
          <t>PMP1276990</t>
        </is>
      </c>
      <c r="E221" s="6" t="n">
        <v>-91703429</v>
      </c>
      <c r="F221" s="10" t="inlineStr"/>
      <c r="G221" s="10" t="inlineStr"/>
      <c r="H221" s="6" t="n">
        <v>-91703429</v>
      </c>
      <c r="I221" s="11" t="inlineStr">
        <is>
          <t xml:space="preserve"> PMP1276990 UNILEVER ANDINA COLOMBIA LTDA/CONCILIAICION</t>
        </is>
      </c>
    </row>
    <row r="222">
      <c r="C222" s="10" t="inlineStr">
        <is>
          <t>Factura Acrededor</t>
        </is>
      </c>
      <c r="D222" s="10" t="inlineStr">
        <is>
          <t>PMP1273880</t>
        </is>
      </c>
      <c r="E222" s="6" t="n">
        <v>-127451611</v>
      </c>
      <c r="F222" s="10" t="inlineStr"/>
      <c r="G222" s="10" t="inlineStr"/>
      <c r="H222" s="6" t="n">
        <v>-127451611</v>
      </c>
      <c r="I222" s="11" t="inlineStr">
        <is>
          <t xml:space="preserve"> PMP1273880 UNILEVER ANDINA COLOMBIA LTDA // CONCILIACIÓN</t>
        </is>
      </c>
    </row>
    <row r="223">
      <c r="C223" s="10" t="inlineStr">
        <is>
          <t>Factura Acrededor</t>
        </is>
      </c>
      <c r="D223" s="10" t="inlineStr">
        <is>
          <t>PMP1274136</t>
        </is>
      </c>
      <c r="E223" s="6" t="n">
        <v>-4803750</v>
      </c>
      <c r="F223" s="10" t="inlineStr"/>
      <c r="G223" s="10" t="inlineStr"/>
      <c r="H223" s="6" t="n">
        <v>-4803750</v>
      </c>
      <c r="I223" s="11" t="inlineStr">
        <is>
          <t xml:space="preserve"> PMP1274136 UNILEVER ANDINA COLOMBIA LTDA</t>
        </is>
      </c>
    </row>
    <row r="224">
      <c r="C224" s="10" t="inlineStr">
        <is>
          <t>Factura Acrededor</t>
        </is>
      </c>
      <c r="D224" s="10" t="inlineStr">
        <is>
          <t>PMP1277144</t>
        </is>
      </c>
      <c r="E224" s="6" t="n">
        <v>-19509586</v>
      </c>
      <c r="F224" s="10" t="inlineStr"/>
      <c r="G224" s="10" t="inlineStr"/>
      <c r="H224" s="6" t="n">
        <v>-19509586</v>
      </c>
      <c r="I224" s="11" t="inlineStr">
        <is>
          <t xml:space="preserve"> PMP1277144 UNILEVER ANDINA COLOMBIA LTDA</t>
        </is>
      </c>
    </row>
    <row r="225">
      <c r="C225" s="10" t="inlineStr">
        <is>
          <t>Factura Acrededor</t>
        </is>
      </c>
      <c r="D225" s="10" t="inlineStr">
        <is>
          <t>PMP1256434</t>
        </is>
      </c>
      <c r="E225" s="6" t="n">
        <v>-19494012</v>
      </c>
      <c r="F225" s="10" t="inlineStr"/>
      <c r="G225" s="10" t="inlineStr"/>
      <c r="H225" s="6" t="n">
        <v>-19494012</v>
      </c>
      <c r="I225" s="11" t="inlineStr">
        <is>
          <t xml:space="preserve"> PMP1256434 UNILEVER ANDINA COLOMBIA LTDA/CONCILIACION</t>
        </is>
      </c>
    </row>
    <row r="226">
      <c r="C226" s="10" t="inlineStr">
        <is>
          <t>Factura Acrededor</t>
        </is>
      </c>
      <c r="D226" s="10" t="inlineStr">
        <is>
          <t>PMP1270680</t>
        </is>
      </c>
      <c r="E226" s="6" t="n">
        <v>-29379157</v>
      </c>
      <c r="F226" s="10" t="inlineStr"/>
      <c r="G226" s="10" t="inlineStr"/>
      <c r="H226" s="6" t="n">
        <v>-29379157</v>
      </c>
      <c r="I226" s="11" t="inlineStr">
        <is>
          <t xml:space="preserve"> PMP1270680 UNILEVER ANDINA COLOMBIA LTDA</t>
        </is>
      </c>
    </row>
    <row r="227">
      <c r="C227" s="10" t="inlineStr">
        <is>
          <t>Factura Acrededor</t>
        </is>
      </c>
      <c r="D227" s="10" t="inlineStr">
        <is>
          <t>PMP1277187</t>
        </is>
      </c>
      <c r="E227" s="6" t="n">
        <v>-1761143</v>
      </c>
      <c r="F227" s="10" t="inlineStr"/>
      <c r="G227" s="10" t="inlineStr"/>
      <c r="H227" s="6" t="n">
        <v>-1761143</v>
      </c>
      <c r="I227" s="11" t="inlineStr">
        <is>
          <t xml:space="preserve"> PMP1277187 UNILEVER ANDINA COLOMBIA LTDA</t>
        </is>
      </c>
    </row>
    <row r="228">
      <c r="C228" s="10" t="inlineStr">
        <is>
          <t>Factura Acrededor</t>
        </is>
      </c>
      <c r="D228" s="10" t="inlineStr">
        <is>
          <t>PMP1276958</t>
        </is>
      </c>
      <c r="E228" s="6" t="n">
        <v>-6282364</v>
      </c>
      <c r="F228" s="10" t="inlineStr"/>
      <c r="G228" s="10" t="inlineStr"/>
      <c r="H228" s="6" t="n">
        <v>-6282364</v>
      </c>
      <c r="I228" s="11" t="inlineStr">
        <is>
          <t xml:space="preserve"> PMP1276958 UNILEVER ANDINA COLOMBIA LTDA/CONCILIACION</t>
        </is>
      </c>
    </row>
    <row r="229">
      <c r="C229" s="10" t="inlineStr">
        <is>
          <t>Factura Acrededor</t>
        </is>
      </c>
      <c r="D229" s="10" t="inlineStr">
        <is>
          <t>PMP1273874</t>
        </is>
      </c>
      <c r="E229" s="6" t="n">
        <v>-12653050</v>
      </c>
      <c r="F229" s="10" t="inlineStr"/>
      <c r="G229" s="10" t="inlineStr"/>
      <c r="H229" s="6" t="n">
        <v>-12653050</v>
      </c>
      <c r="I229" s="11" t="inlineStr">
        <is>
          <t xml:space="preserve"> PMP1273874 UNILEVER ANDINA COLOMBIA LTDA</t>
        </is>
      </c>
    </row>
    <row r="230">
      <c r="C230" s="10" t="inlineStr">
        <is>
          <t>Factura Acrededor</t>
        </is>
      </c>
      <c r="D230" s="10" t="inlineStr">
        <is>
          <t>PMP1277145</t>
        </is>
      </c>
      <c r="E230" s="6" t="n">
        <v>-11842275</v>
      </c>
      <c r="F230" s="10" t="inlineStr"/>
      <c r="G230" s="10" t="inlineStr"/>
      <c r="H230" s="6" t="n">
        <v>-11842275</v>
      </c>
      <c r="I230" s="11" t="inlineStr">
        <is>
          <t xml:space="preserve"> PMP1277145 UNILEVER ANDINA COLOMBIA LTDA</t>
        </is>
      </c>
    </row>
    <row r="231">
      <c r="C231" s="10" t="inlineStr">
        <is>
          <t>Factura Acrededor</t>
        </is>
      </c>
      <c r="D231" s="10" t="inlineStr">
        <is>
          <t>PMP1271670</t>
        </is>
      </c>
      <c r="E231" s="6" t="n">
        <v>-9663513</v>
      </c>
      <c r="F231" s="10" t="inlineStr"/>
      <c r="G231" s="10" t="inlineStr"/>
      <c r="H231" s="6" t="n">
        <v>-9663513</v>
      </c>
      <c r="I231" s="11" t="inlineStr">
        <is>
          <t xml:space="preserve"> PMP1271670 UNILEVER ANDINA COLOMBIA LTDA/CONCILIACION</t>
        </is>
      </c>
    </row>
    <row r="232">
      <c r="C232" s="10" t="inlineStr">
        <is>
          <t>Factura Acrededor</t>
        </is>
      </c>
      <c r="D232" s="10" t="inlineStr">
        <is>
          <t>PMP1276992</t>
        </is>
      </c>
      <c r="E232" s="6" t="n">
        <v>-19850219</v>
      </c>
      <c r="F232" s="10" t="inlineStr"/>
      <c r="G232" s="10" t="inlineStr"/>
      <c r="H232" s="6" t="n">
        <v>-19850219</v>
      </c>
      <c r="I232" s="11" t="inlineStr">
        <is>
          <t xml:space="preserve"> PMP1276992 UNILEVER ANDINA COLOMBIA LTDA/conciliaicon</t>
        </is>
      </c>
    </row>
    <row r="233">
      <c r="C233" s="10" t="inlineStr">
        <is>
          <t>Factura Acrededor</t>
        </is>
      </c>
      <c r="D233" s="10" t="inlineStr">
        <is>
          <t>PMP1271669</t>
        </is>
      </c>
      <c r="E233" s="6" t="n">
        <v>-17416038</v>
      </c>
      <c r="F233" s="10" t="inlineStr"/>
      <c r="G233" s="10" t="inlineStr"/>
      <c r="H233" s="6" t="n">
        <v>-17416038</v>
      </c>
      <c r="I233" s="11" t="inlineStr">
        <is>
          <t xml:space="preserve"> PMP1271669 UNILEVER ANDINA COLOMBIA LTDA/CONCILIACION</t>
        </is>
      </c>
    </row>
    <row r="234">
      <c r="C234" s="10" t="inlineStr">
        <is>
          <t>Factura Acrededor</t>
        </is>
      </c>
      <c r="D234" s="10" t="inlineStr">
        <is>
          <t>PMP1273113</t>
        </is>
      </c>
      <c r="E234" s="6" t="n">
        <v>-1250352</v>
      </c>
      <c r="F234" s="10" t="inlineStr"/>
      <c r="G234" s="10" t="inlineStr"/>
      <c r="H234" s="6" t="n">
        <v>-1250352</v>
      </c>
      <c r="I234" s="11" t="inlineStr">
        <is>
          <t xml:space="preserve"> PMP1273113 UNILEVER ANDINA COLOMBIA LTDA</t>
        </is>
      </c>
    </row>
    <row r="235">
      <c r="C235" s="10" t="inlineStr">
        <is>
          <t>Factura Acrededor</t>
        </is>
      </c>
      <c r="D235" s="10" t="inlineStr">
        <is>
          <t>PMP1273116</t>
        </is>
      </c>
      <c r="E235" s="6" t="n">
        <v>-34096737</v>
      </c>
      <c r="F235" s="10" t="inlineStr"/>
      <c r="G235" s="10" t="inlineStr"/>
      <c r="H235" s="6" t="n">
        <v>-34096737</v>
      </c>
      <c r="I235" s="11" t="inlineStr">
        <is>
          <t xml:space="preserve"> PMP1273116 UNILEVER ANDINA COLOMBIA LTDA/CONCILIACION</t>
        </is>
      </c>
    </row>
    <row r="236">
      <c r="C236" s="10" t="inlineStr">
        <is>
          <t>Factura Acrededor</t>
        </is>
      </c>
      <c r="D236" s="10" t="inlineStr">
        <is>
          <t>PMP1277139</t>
        </is>
      </c>
      <c r="E236" s="6" t="n">
        <v>-20008459</v>
      </c>
      <c r="F236" s="10" t="inlineStr"/>
      <c r="G236" s="10" t="inlineStr"/>
      <c r="H236" s="6" t="n">
        <v>-20008459</v>
      </c>
      <c r="I236" s="11" t="inlineStr">
        <is>
          <t xml:space="preserve"> PMP1277139 UNILEVER ANDINA COLOMBIA LTDA</t>
        </is>
      </c>
    </row>
    <row r="237">
      <c r="C237" s="10" t="inlineStr">
        <is>
          <t>Factura Acrededor</t>
        </is>
      </c>
      <c r="D237" s="10" t="inlineStr">
        <is>
          <t>PMP1256436</t>
        </is>
      </c>
      <c r="E237" s="6" t="n">
        <v>-39247259</v>
      </c>
      <c r="F237" s="10" t="inlineStr"/>
      <c r="G237" s="10" t="inlineStr"/>
      <c r="H237" s="6" t="n">
        <v>-39247259</v>
      </c>
      <c r="I237" s="11" t="inlineStr">
        <is>
          <t xml:space="preserve"> PMP1256436 UNILEVER ANDINA COLOMBIA LTDA/CONCILIACION</t>
        </is>
      </c>
    </row>
    <row r="238">
      <c r="C238" s="10" t="inlineStr">
        <is>
          <t>Factura Acrededor</t>
        </is>
      </c>
      <c r="D238" s="10" t="inlineStr">
        <is>
          <t>PMP1273875</t>
        </is>
      </c>
      <c r="E238" s="6" t="n">
        <v>-302837</v>
      </c>
      <c r="F238" s="10" t="inlineStr"/>
      <c r="G238" s="10" t="inlineStr"/>
      <c r="H238" s="6" t="n">
        <v>-302837</v>
      </c>
      <c r="I238" s="11" t="inlineStr">
        <is>
          <t xml:space="preserve"> PMP1273875 UNILEVER ANDINA COLOMBIA LTDA</t>
        </is>
      </c>
    </row>
    <row r="239">
      <c r="C239" s="10" t="inlineStr">
        <is>
          <t>Factura Acrededor</t>
        </is>
      </c>
      <c r="D239" s="10" t="inlineStr">
        <is>
          <t>PMP1265901</t>
        </is>
      </c>
      <c r="E239" s="6" t="n">
        <v>-37214451</v>
      </c>
      <c r="F239" s="10" t="inlineStr"/>
      <c r="G239" s="10" t="inlineStr"/>
      <c r="H239" s="6" t="n">
        <v>-37214451</v>
      </c>
      <c r="I239" s="11" t="inlineStr">
        <is>
          <t xml:space="preserve"> PMP1265901 UNILEVER ANDINA COLOMBIA LTDA</t>
        </is>
      </c>
    </row>
    <row r="240">
      <c r="C240" s="10" t="inlineStr">
        <is>
          <t>Factura Acrededor</t>
        </is>
      </c>
      <c r="D240" s="10" t="inlineStr">
        <is>
          <t>PMP1269765</t>
        </is>
      </c>
      <c r="E240" s="6" t="n">
        <v>-4308838</v>
      </c>
      <c r="F240" s="10" t="inlineStr"/>
      <c r="G240" s="10" t="inlineStr"/>
      <c r="H240" s="6" t="n">
        <v>-4308838</v>
      </c>
      <c r="I240" s="11" t="inlineStr">
        <is>
          <t xml:space="preserve"> PMP1269765 UNILEVER ANDINA COLOMBIA LTDA</t>
        </is>
      </c>
    </row>
    <row r="241">
      <c r="C241" s="10" t="inlineStr">
        <is>
          <t>Factura Acrededor</t>
        </is>
      </c>
      <c r="D241" s="10" t="inlineStr">
        <is>
          <t>PMP1271106</t>
        </is>
      </c>
      <c r="E241" s="6" t="n">
        <v>-74210207</v>
      </c>
      <c r="F241" s="10" t="inlineStr"/>
      <c r="G241" s="10" t="inlineStr"/>
      <c r="H241" s="6" t="n">
        <v>-74210207</v>
      </c>
      <c r="I241" s="11" t="inlineStr">
        <is>
          <t xml:space="preserve"> PMP1271106 UNILEVER ANDINA COLOMBIA LTDA</t>
        </is>
      </c>
    </row>
    <row r="242">
      <c r="C242" s="10" t="inlineStr">
        <is>
          <t>Factura Acrededor</t>
        </is>
      </c>
      <c r="D242" s="10" t="inlineStr">
        <is>
          <t>PMP1271097</t>
        </is>
      </c>
      <c r="E242" s="6" t="n">
        <v>-56845936</v>
      </c>
      <c r="F242" s="10" t="inlineStr"/>
      <c r="G242" s="10" t="inlineStr"/>
      <c r="H242" s="6" t="n">
        <v>-56845936</v>
      </c>
      <c r="I242" s="11" t="inlineStr">
        <is>
          <t xml:space="preserve"> PMP1271097 UNILEVER ANDINA COLOMBIA LTDA // CONCILIACIÓN</t>
        </is>
      </c>
    </row>
    <row r="243">
      <c r="C243" s="10" t="inlineStr">
        <is>
          <t>Factura Acrededor</t>
        </is>
      </c>
      <c r="D243" s="10" t="inlineStr">
        <is>
          <t>PMP1270024</t>
        </is>
      </c>
      <c r="E243" s="6" t="n">
        <v>-6095218</v>
      </c>
      <c r="F243" s="10" t="inlineStr"/>
      <c r="G243" s="10" t="inlineStr"/>
      <c r="H243" s="6" t="n">
        <v>-6095218</v>
      </c>
      <c r="I243" s="11" t="inlineStr">
        <is>
          <t xml:space="preserve"> PMP1270024 UNILEVER ANDINA COLOMBIA LTDA</t>
        </is>
      </c>
    </row>
    <row r="244">
      <c r="C244" s="10" t="inlineStr">
        <is>
          <t>Factura Acrededor</t>
        </is>
      </c>
      <c r="D244" s="10" t="inlineStr">
        <is>
          <t>PMP1279350</t>
        </is>
      </c>
      <c r="E244" s="6" t="n">
        <v>-6509734</v>
      </c>
      <c r="F244" s="10" t="inlineStr"/>
      <c r="G244" s="10" t="inlineStr"/>
      <c r="H244" s="6" t="n">
        <v>-6509734</v>
      </c>
      <c r="I244" s="11" t="inlineStr">
        <is>
          <t xml:space="preserve"> PMP1279350 UNILEVER ANDINA COLOMBIA LTDA/CONCILIAICION</t>
        </is>
      </c>
    </row>
    <row r="245">
      <c r="C245" s="10" t="inlineStr">
        <is>
          <t>Factura Acrededor</t>
        </is>
      </c>
      <c r="D245" s="10" t="inlineStr">
        <is>
          <t>PMP1271054</t>
        </is>
      </c>
      <c r="E245" s="6" t="n">
        <v>-10835116</v>
      </c>
      <c r="F245" s="10" t="inlineStr"/>
      <c r="G245" s="10" t="inlineStr"/>
      <c r="H245" s="6" t="n">
        <v>-10835116</v>
      </c>
      <c r="I245" s="11" t="inlineStr">
        <is>
          <t xml:space="preserve"> PMP1271054 </t>
        </is>
      </c>
    </row>
    <row r="246">
      <c r="C246" s="10" t="inlineStr">
        <is>
          <t>Factura Acrededor</t>
        </is>
      </c>
      <c r="D246" s="10" t="inlineStr">
        <is>
          <t>PMP1270679</t>
        </is>
      </c>
      <c r="E246" s="6" t="n">
        <v>-9897916</v>
      </c>
      <c r="F246" s="10" t="inlineStr"/>
      <c r="G246" s="10" t="inlineStr"/>
      <c r="H246" s="6" t="n">
        <v>-9897916</v>
      </c>
      <c r="I246" s="11" t="inlineStr">
        <is>
          <t xml:space="preserve"> PMP1270679 UNILEVER ANDINA COLOMBIA LTDA</t>
        </is>
      </c>
    </row>
    <row r="247">
      <c r="C247" s="10" t="inlineStr">
        <is>
          <t>Factura Acrededor</t>
        </is>
      </c>
      <c r="D247" s="10" t="inlineStr">
        <is>
          <t>PMP1270677</t>
        </is>
      </c>
      <c r="E247" s="6" t="n">
        <v>-16272496</v>
      </c>
      <c r="F247" s="10" t="inlineStr"/>
      <c r="G247" s="10" t="inlineStr"/>
      <c r="H247" s="6" t="n">
        <v>-16272496</v>
      </c>
      <c r="I247" s="11" t="inlineStr">
        <is>
          <t xml:space="preserve"> PMP1270677 UNILEVER ANDINA COLOMBIA LTDA</t>
        </is>
      </c>
    </row>
    <row r="248">
      <c r="C248" s="10" t="inlineStr">
        <is>
          <t>Factura Acrededor</t>
        </is>
      </c>
      <c r="D248" s="10" t="inlineStr">
        <is>
          <t>PMP1271152</t>
        </is>
      </c>
      <c r="E248" s="6" t="n">
        <v>-16368273</v>
      </c>
      <c r="F248" s="10" t="inlineStr"/>
      <c r="G248" s="10" t="inlineStr"/>
      <c r="H248" s="6" t="n">
        <v>-16368273</v>
      </c>
      <c r="I248" s="11" t="inlineStr">
        <is>
          <t xml:space="preserve"> PMP1271152 UNILEVER ANDINA COLOMBIA LTDA/CONCILIACION</t>
        </is>
      </c>
    </row>
    <row r="249">
      <c r="C249" s="10" t="inlineStr">
        <is>
          <t>Factura Acrededor</t>
        </is>
      </c>
      <c r="D249" s="10" t="inlineStr">
        <is>
          <t>PMP1271668</t>
        </is>
      </c>
      <c r="E249" s="6" t="n">
        <v>-8060077</v>
      </c>
      <c r="F249" s="10" t="inlineStr"/>
      <c r="G249" s="10" t="inlineStr"/>
      <c r="H249" s="6" t="n">
        <v>-8060077</v>
      </c>
      <c r="I249" s="11" t="inlineStr">
        <is>
          <t xml:space="preserve"> PMP1271668 UNILEVER ANDINA COLOMBIA LTDA/CONCILIACION</t>
        </is>
      </c>
    </row>
    <row r="250">
      <c r="C250" s="10" t="inlineStr">
        <is>
          <t>Factura Acrededor</t>
        </is>
      </c>
      <c r="D250" s="10" t="inlineStr">
        <is>
          <t>PMP1277186</t>
        </is>
      </c>
      <c r="E250" s="6" t="n">
        <v>-9856433</v>
      </c>
      <c r="F250" s="10" t="inlineStr"/>
      <c r="G250" s="10" t="inlineStr"/>
      <c r="H250" s="6" t="n">
        <v>-9856433</v>
      </c>
      <c r="I250" s="11" t="inlineStr">
        <is>
          <t xml:space="preserve"> PMP1277186 UNILEVER ANDINA COLOMBIA LTDA</t>
        </is>
      </c>
    </row>
    <row r="251">
      <c r="C251" s="10" t="inlineStr">
        <is>
          <t>Factura Acrededor</t>
        </is>
      </c>
      <c r="D251" s="10" t="inlineStr">
        <is>
          <t>PMP1258126</t>
        </is>
      </c>
      <c r="E251" s="6" t="n">
        <v>-19284950</v>
      </c>
      <c r="F251" s="10" t="inlineStr"/>
      <c r="G251" s="10" t="inlineStr"/>
      <c r="H251" s="6" t="n">
        <v>-19284950</v>
      </c>
      <c r="I251" s="11" t="inlineStr">
        <is>
          <t xml:space="preserve"> PMP1258126 </t>
        </is>
      </c>
    </row>
    <row r="252">
      <c r="C252" s="10" t="inlineStr">
        <is>
          <t>Factura Acrededor</t>
        </is>
      </c>
      <c r="D252" s="10" t="inlineStr">
        <is>
          <t>PMP1272330</t>
        </is>
      </c>
      <c r="E252" s="6" t="n">
        <v>-97269335</v>
      </c>
      <c r="F252" s="10" t="inlineStr"/>
      <c r="G252" s="10" t="inlineStr"/>
      <c r="H252" s="6" t="n">
        <v>-97269335</v>
      </c>
      <c r="I252" s="11" t="inlineStr">
        <is>
          <t xml:space="preserve"> PMP1272330 UNILEVER ANDINA COLOMBIA LTDA // CONCILIACIÓN</t>
        </is>
      </c>
    </row>
    <row r="253">
      <c r="C253" s="10" t="inlineStr">
        <is>
          <t>Factura Acrededor</t>
        </is>
      </c>
      <c r="D253" s="10" t="inlineStr">
        <is>
          <t>PMP1276955</t>
        </is>
      </c>
      <c r="E253" s="6" t="n">
        <v>-570000</v>
      </c>
      <c r="F253" s="10" t="inlineStr"/>
      <c r="G253" s="10" t="inlineStr"/>
      <c r="H253" s="6" t="n">
        <v>-570000</v>
      </c>
      <c r="I253" s="11" t="inlineStr">
        <is>
          <t xml:space="preserve"> PMP1276955 UNILEVER ANDINA COLOMBIA LTDA</t>
        </is>
      </c>
    </row>
    <row r="254">
      <c r="C254" s="10" t="inlineStr">
        <is>
          <t>Factura Acrededor</t>
        </is>
      </c>
      <c r="D254" s="10" t="inlineStr">
        <is>
          <t>PMP1276954</t>
        </is>
      </c>
      <c r="E254" s="6" t="n">
        <v>-9876168</v>
      </c>
      <c r="F254" s="10" t="inlineStr"/>
      <c r="G254" s="10" t="inlineStr"/>
      <c r="H254" s="6" t="n">
        <v>-9876168</v>
      </c>
      <c r="I254" s="11" t="inlineStr">
        <is>
          <t xml:space="preserve"> PMP1276954 UNILEVER ANDINA COLOMBIA LTDA/CONCILIACION</t>
        </is>
      </c>
    </row>
    <row r="255">
      <c r="C255" s="10" t="inlineStr">
        <is>
          <t>Factura Acrededor</t>
        </is>
      </c>
      <c r="D255" s="10" t="inlineStr">
        <is>
          <t>PMP1273112</t>
        </is>
      </c>
      <c r="E255" s="6" t="n">
        <v>-27974992</v>
      </c>
      <c r="F255" s="10" t="inlineStr"/>
      <c r="G255" s="10" t="inlineStr"/>
      <c r="H255" s="6" t="n">
        <v>-27974992</v>
      </c>
      <c r="I255" s="11" t="inlineStr">
        <is>
          <t xml:space="preserve"> PMP1273112 UNILEVER ANDINA COLOMBIA LTDA/CONCILIACION</t>
        </is>
      </c>
    </row>
    <row r="256">
      <c r="C256" s="10" t="inlineStr">
        <is>
          <t>Factura Acrededor</t>
        </is>
      </c>
      <c r="D256" s="10" t="inlineStr">
        <is>
          <t>PMP1271958</t>
        </is>
      </c>
      <c r="E256" s="6" t="n">
        <v>-19165124</v>
      </c>
      <c r="F256" s="10" t="inlineStr"/>
      <c r="G256" s="10" t="inlineStr"/>
      <c r="H256" s="6" t="n">
        <v>-19165124</v>
      </c>
      <c r="I256" s="11" t="inlineStr">
        <is>
          <t xml:space="preserve"> PMP1271958 UNILEVER ANDINA COLOMBIA LTDA</t>
        </is>
      </c>
    </row>
    <row r="257">
      <c r="C257" s="10" t="inlineStr">
        <is>
          <t>Factura Acrededor</t>
        </is>
      </c>
      <c r="D257" s="10" t="inlineStr">
        <is>
          <t>PMP1270167</t>
        </is>
      </c>
      <c r="E257" s="6" t="n">
        <v>-6758861</v>
      </c>
      <c r="F257" s="10" t="inlineStr"/>
      <c r="G257" s="10" t="inlineStr"/>
      <c r="H257" s="6" t="n">
        <v>-6758861</v>
      </c>
      <c r="I257" s="11" t="inlineStr">
        <is>
          <t xml:space="preserve"> PMP1270167 </t>
        </is>
      </c>
    </row>
    <row r="258">
      <c r="C258" s="10" t="inlineStr">
        <is>
          <t>Factura Acrededor</t>
        </is>
      </c>
      <c r="D258" s="10" t="inlineStr">
        <is>
          <t>PMP1277137</t>
        </is>
      </c>
      <c r="E258" s="6" t="n">
        <v>-111539485</v>
      </c>
      <c r="F258" s="10" t="inlineStr"/>
      <c r="G258" s="10" t="inlineStr"/>
      <c r="H258" s="6" t="n">
        <v>-111539485</v>
      </c>
      <c r="I258" s="11" t="inlineStr">
        <is>
          <t xml:space="preserve"> PMP1277137 UNILEVER ANDINA COLOMBIA LTDA/conciliacion</t>
        </is>
      </c>
    </row>
    <row r="259">
      <c r="C259" s="10" t="inlineStr">
        <is>
          <t>Factura Acrededor</t>
        </is>
      </c>
      <c r="D259" s="10" t="inlineStr">
        <is>
          <t>PMP1270164</t>
        </is>
      </c>
      <c r="E259" s="6" t="n">
        <v>-2605159</v>
      </c>
      <c r="F259" s="10" t="inlineStr"/>
      <c r="G259" s="10" t="inlineStr"/>
      <c r="H259" s="6" t="n">
        <v>-2605159</v>
      </c>
      <c r="I259" s="11" t="inlineStr">
        <is>
          <t xml:space="preserve"> PMP1270164 </t>
        </is>
      </c>
    </row>
    <row r="260">
      <c r="C260" s="10" t="inlineStr">
        <is>
          <t>Factura Acrededor</t>
        </is>
      </c>
      <c r="D260" s="10" t="inlineStr">
        <is>
          <t>PMP1258179</t>
        </is>
      </c>
      <c r="E260" s="6" t="n">
        <v>-20092252</v>
      </c>
      <c r="F260" s="10" t="inlineStr"/>
      <c r="G260" s="10" t="inlineStr"/>
      <c r="H260" s="6" t="n">
        <v>-20092252</v>
      </c>
      <c r="I260" s="11" t="inlineStr">
        <is>
          <t xml:space="preserve"> PMP1258179 UNILEVER ANDINA COLOMBIA LTDA/conciliacion</t>
        </is>
      </c>
    </row>
    <row r="261">
      <c r="C261" s="10" t="inlineStr">
        <is>
          <t>Factura Acrededor</t>
        </is>
      </c>
      <c r="D261" s="10" t="inlineStr">
        <is>
          <t>PMP1258594</t>
        </is>
      </c>
      <c r="E261" s="6" t="n">
        <v>-75718026</v>
      </c>
      <c r="F261" s="10" t="inlineStr"/>
      <c r="G261" s="10" t="inlineStr"/>
      <c r="H261" s="6" t="n">
        <v>-75718026</v>
      </c>
      <c r="I261" s="11" t="inlineStr">
        <is>
          <t xml:space="preserve"> PMP1258594 UNILEVER ANDINA COLOMBIA LTDA // CONCILIACIÓN</t>
        </is>
      </c>
    </row>
    <row r="262">
      <c r="C262" s="10" t="inlineStr">
        <is>
          <t>Factura Acrededor</t>
        </is>
      </c>
      <c r="D262" s="10" t="inlineStr">
        <is>
          <t>PMP1258180</t>
        </is>
      </c>
      <c r="E262" s="6" t="n">
        <v>-7218060</v>
      </c>
      <c r="F262" s="10" t="inlineStr"/>
      <c r="G262" s="10" t="inlineStr"/>
      <c r="H262" s="6" t="n">
        <v>-7218060</v>
      </c>
      <c r="I262" s="11" t="inlineStr">
        <is>
          <t xml:space="preserve"> PMP1258180 UNILEVER ANDINA COLOMBIA LTDA</t>
        </is>
      </c>
    </row>
    <row r="263">
      <c r="C263" s="10" t="inlineStr">
        <is>
          <t>Factura Acrededor</t>
        </is>
      </c>
      <c r="D263" s="10" t="inlineStr">
        <is>
          <t>PMP1258595</t>
        </is>
      </c>
      <c r="E263" s="6" t="n">
        <v>-162926000</v>
      </c>
      <c r="F263" s="10" t="inlineStr"/>
      <c r="G263" s="10" t="inlineStr"/>
      <c r="H263" s="6" t="n">
        <v>-162926000</v>
      </c>
      <c r="I263" s="11" t="inlineStr">
        <is>
          <t xml:space="preserve"> PMP1258595 UNILEVER ANDINA COLOMBIA LTDA // CONCILIACIÓN</t>
        </is>
      </c>
    </row>
    <row r="264">
      <c r="C264" s="10" t="inlineStr">
        <is>
          <t>Factura Acrededor</t>
        </is>
      </c>
      <c r="D264" s="10" t="inlineStr">
        <is>
          <t>PMP1258455</t>
        </is>
      </c>
      <c r="E264" s="6" t="n">
        <v>-12092374</v>
      </c>
      <c r="F264" s="10" t="inlineStr"/>
      <c r="G264" s="10" t="inlineStr"/>
      <c r="H264" s="6" t="n">
        <v>-12092374</v>
      </c>
      <c r="I264" s="11" t="inlineStr">
        <is>
          <t xml:space="preserve"> PMP1258455 UNILEVER ANDINA COLOMBIA LTDA/CONCILIACION</t>
        </is>
      </c>
    </row>
    <row r="265">
      <c r="C265" s="10" t="inlineStr">
        <is>
          <t>Factura Acrededor</t>
        </is>
      </c>
      <c r="D265" s="10" t="inlineStr">
        <is>
          <t>PMP1258456</t>
        </is>
      </c>
      <c r="E265" s="6" t="n">
        <v>-10932183</v>
      </c>
      <c r="F265" s="10" t="inlineStr"/>
      <c r="G265" s="10" t="inlineStr"/>
      <c r="H265" s="6" t="n">
        <v>-10932183</v>
      </c>
      <c r="I265" s="11" t="inlineStr">
        <is>
          <t xml:space="preserve"> PMP1258456 UNILEVER ANDINA COLOMBIA LTDA/CONCILIACION</t>
        </is>
      </c>
    </row>
    <row r="266">
      <c r="C266" s="10" t="inlineStr">
        <is>
          <t>Factura Acrededor</t>
        </is>
      </c>
      <c r="D266" s="10" t="inlineStr">
        <is>
          <t>PMP1259837</t>
        </is>
      </c>
      <c r="E266" s="6" t="n">
        <v>-16185425</v>
      </c>
      <c r="F266" s="10" t="inlineStr"/>
      <c r="G266" s="10" t="inlineStr"/>
      <c r="H266" s="6" t="n">
        <v>-16185425</v>
      </c>
      <c r="I266" s="11" t="inlineStr">
        <is>
          <t xml:space="preserve"> PMP1259837 UNILEVER ANDINA COLOMBIA LTDA</t>
        </is>
      </c>
    </row>
    <row r="267">
      <c r="C267" s="10" t="inlineStr">
        <is>
          <t>Factura Acrededor</t>
        </is>
      </c>
      <c r="D267" s="10" t="inlineStr">
        <is>
          <t>PMP1259836</t>
        </is>
      </c>
      <c r="E267" s="6" t="n">
        <v>-26804521</v>
      </c>
      <c r="F267" s="10" t="inlineStr"/>
      <c r="G267" s="10" t="inlineStr"/>
      <c r="H267" s="6" t="n">
        <v>-26804521</v>
      </c>
      <c r="I267" s="11" t="inlineStr">
        <is>
          <t xml:space="preserve"> PMP1259836 UNILEVER ANDINA COLOMBIA LTDA</t>
        </is>
      </c>
    </row>
    <row r="268">
      <c r="C268" s="10" t="inlineStr">
        <is>
          <t>Factura Acrededor</t>
        </is>
      </c>
      <c r="D268" s="10" t="inlineStr">
        <is>
          <t>PMP1258285</t>
        </is>
      </c>
      <c r="E268" s="6" t="n">
        <v>-13208795</v>
      </c>
      <c r="F268" s="10" t="inlineStr"/>
      <c r="G268" s="10" t="inlineStr"/>
      <c r="H268" s="6" t="n">
        <v>-13208795</v>
      </c>
      <c r="I268" s="11" t="inlineStr">
        <is>
          <t xml:space="preserve"> PMP1258285 UNILEVER ANDINA COLOMBIA LTDA</t>
        </is>
      </c>
    </row>
    <row r="269">
      <c r="C269" s="10" t="inlineStr">
        <is>
          <t>Factura Acrededor</t>
        </is>
      </c>
      <c r="D269" s="10" t="inlineStr">
        <is>
          <t>PMP1258284</t>
        </is>
      </c>
      <c r="E269" s="6" t="n">
        <v>-19341770</v>
      </c>
      <c r="F269" s="10" t="inlineStr"/>
      <c r="G269" s="10" t="inlineStr"/>
      <c r="H269" s="6" t="n">
        <v>-19341770</v>
      </c>
      <c r="I269" s="11" t="inlineStr">
        <is>
          <t xml:space="preserve"> PMP1258284 UNILEVER ANDINA COLOMBIA LTDA</t>
        </is>
      </c>
    </row>
    <row r="270">
      <c r="C270" s="10" t="inlineStr">
        <is>
          <t>Factura Acrededor</t>
        </is>
      </c>
      <c r="D270" s="10" t="inlineStr">
        <is>
          <t>PMP1269413</t>
        </is>
      </c>
      <c r="E270" s="6" t="n">
        <v>-3339949</v>
      </c>
      <c r="F270" s="10" t="inlineStr"/>
      <c r="G270" s="10" t="inlineStr"/>
      <c r="H270" s="6" t="n">
        <v>-3339949</v>
      </c>
      <c r="I270" s="11" t="inlineStr">
        <is>
          <t xml:space="preserve"> PMP1269413 UNILEVER ANDINA COLOMBIA LTDA/CONCILIACION</t>
        </is>
      </c>
    </row>
    <row r="271">
      <c r="C271" s="10" t="inlineStr">
        <is>
          <t>Factura Acrededor</t>
        </is>
      </c>
      <c r="D271" s="10" t="inlineStr">
        <is>
          <t>PMP1269223</t>
        </is>
      </c>
      <c r="E271" s="6" t="n">
        <v>-7748682</v>
      </c>
      <c r="F271" s="10" t="inlineStr"/>
      <c r="G271" s="10" t="inlineStr"/>
      <c r="H271" s="6" t="n">
        <v>-7748682</v>
      </c>
      <c r="I271" s="11" t="inlineStr">
        <is>
          <t xml:space="preserve"> PMP1269223 UNILEVER ANDINA COLOMBIA LTDA</t>
        </is>
      </c>
    </row>
    <row r="272">
      <c r="C272" s="10" t="inlineStr">
        <is>
          <t>Factura Acrededor</t>
        </is>
      </c>
      <c r="D272" s="10" t="inlineStr">
        <is>
          <t>PMP1270598</t>
        </is>
      </c>
      <c r="E272" s="6" t="n">
        <v>-12869064</v>
      </c>
      <c r="F272" s="10" t="inlineStr"/>
      <c r="G272" s="10" t="inlineStr"/>
      <c r="H272" s="6" t="n">
        <v>-12869064</v>
      </c>
      <c r="I272" s="11" t="inlineStr">
        <is>
          <t xml:space="preserve"> PMP1270598 UNILEVER ANDINA COLOMBIA LTDA</t>
        </is>
      </c>
    </row>
    <row r="273">
      <c r="C273" s="10" t="inlineStr">
        <is>
          <t>Factura Acrededor</t>
        </is>
      </c>
      <c r="D273" s="10" t="inlineStr">
        <is>
          <t>PMP1270595</t>
        </is>
      </c>
      <c r="E273" s="6" t="n">
        <v>-3406748</v>
      </c>
      <c r="F273" s="10" t="inlineStr"/>
      <c r="G273" s="10" t="inlineStr"/>
      <c r="H273" s="6" t="n">
        <v>-3406748</v>
      </c>
      <c r="I273" s="11" t="inlineStr">
        <is>
          <t xml:space="preserve"> PMP1270595 UNILEVER ANDINA COLOMBIA LTDA</t>
        </is>
      </c>
    </row>
    <row r="274">
      <c r="C274" s="10" t="inlineStr">
        <is>
          <t>Factura Acrededor</t>
        </is>
      </c>
      <c r="D274" s="10" t="inlineStr">
        <is>
          <t>PMP1269965</t>
        </is>
      </c>
      <c r="E274" s="6" t="n">
        <v>-24626817</v>
      </c>
      <c r="F274" s="10" t="inlineStr"/>
      <c r="G274" s="10" t="inlineStr"/>
      <c r="H274" s="6" t="n">
        <v>-24626817</v>
      </c>
      <c r="I274" s="11" t="inlineStr">
        <is>
          <t xml:space="preserve"> PMP1269965 UNILEVER ANDINA COLOMBIA LTDA/conciliaicon</t>
        </is>
      </c>
    </row>
    <row r="275">
      <c r="C275" s="10" t="inlineStr">
        <is>
          <t>Factura Acrededor</t>
        </is>
      </c>
      <c r="D275" s="10" t="inlineStr">
        <is>
          <t>PMP1271664</t>
        </is>
      </c>
      <c r="E275" s="6" t="n">
        <v>-285000</v>
      </c>
      <c r="F275" s="10" t="inlineStr"/>
      <c r="G275" s="10" t="inlineStr"/>
      <c r="H275" s="6" t="n">
        <v>-285000</v>
      </c>
      <c r="I275" s="11" t="inlineStr">
        <is>
          <t xml:space="preserve"> PMP1271664 UNILEVER ANDINA COLOMBIA LTDA</t>
        </is>
      </c>
    </row>
    <row r="276">
      <c r="C276" s="10" t="inlineStr">
        <is>
          <t>Factura Acrededor</t>
        </is>
      </c>
      <c r="D276" s="10" t="inlineStr">
        <is>
          <t>PMP1271666</t>
        </is>
      </c>
      <c r="E276" s="6" t="n">
        <v>-3533381</v>
      </c>
      <c r="F276" s="10" t="inlineStr"/>
      <c r="G276" s="10" t="inlineStr"/>
      <c r="H276" s="6" t="n">
        <v>-3533381</v>
      </c>
      <c r="I276" s="11" t="inlineStr">
        <is>
          <t xml:space="preserve"> PMP1271666 UNILEVER ANDINA COLOMBIA LTDA/CONCILIACION</t>
        </is>
      </c>
    </row>
    <row r="277">
      <c r="C277" s="10" t="inlineStr">
        <is>
          <t>Factura Acrededor</t>
        </is>
      </c>
      <c r="D277" s="10" t="inlineStr">
        <is>
          <t>PMP1276991</t>
        </is>
      </c>
      <c r="E277" s="6" t="n">
        <v>-21513304</v>
      </c>
      <c r="F277" s="10" t="inlineStr"/>
      <c r="G277" s="10" t="inlineStr"/>
      <c r="H277" s="6" t="n">
        <v>-21513304</v>
      </c>
      <c r="I277" s="11" t="inlineStr">
        <is>
          <t xml:space="preserve"> PMP1276991 UNILEVER ANDINA COLOMBIA LTDA/conciliacion</t>
        </is>
      </c>
    </row>
    <row r="278">
      <c r="C278" s="10" t="inlineStr">
        <is>
          <t>Factura Acrededor</t>
        </is>
      </c>
      <c r="D278" s="10" t="inlineStr">
        <is>
          <t>PMP1276671</t>
        </is>
      </c>
      <c r="E278" s="6" t="n">
        <v>-23118825</v>
      </c>
      <c r="F278" s="10" t="inlineStr"/>
      <c r="G278" s="10" t="inlineStr"/>
      <c r="H278" s="6" t="n">
        <v>-23118825</v>
      </c>
      <c r="I278" s="11" t="inlineStr">
        <is>
          <t xml:space="preserve"> PMP1276671 </t>
        </is>
      </c>
    </row>
    <row r="279">
      <c r="C279" s="10" t="inlineStr">
        <is>
          <t>Factura Acrededor</t>
        </is>
      </c>
      <c r="D279" s="10" t="inlineStr">
        <is>
          <t>PMP1273592</t>
        </is>
      </c>
      <c r="E279" s="6" t="n">
        <v>-1903999</v>
      </c>
      <c r="F279" s="10" t="inlineStr"/>
      <c r="G279" s="10" t="inlineStr"/>
      <c r="H279" s="6" t="n">
        <v>-1903999</v>
      </c>
      <c r="I279" s="11" t="inlineStr">
        <is>
          <t xml:space="preserve"> PMP1273592 UNILEVER ANDINA COLOMBIA LTDA</t>
        </is>
      </c>
    </row>
    <row r="280">
      <c r="C280" s="10" t="inlineStr">
        <is>
          <t>Factura Acrededor</t>
        </is>
      </c>
      <c r="D280" s="10" t="inlineStr">
        <is>
          <t>PMP1273861</t>
        </is>
      </c>
      <c r="E280" s="6" t="n">
        <v>-2499993</v>
      </c>
      <c r="F280" s="10" t="inlineStr"/>
      <c r="G280" s="10" t="inlineStr"/>
      <c r="H280" s="6" t="n">
        <v>-2499993</v>
      </c>
      <c r="I280" s="11" t="inlineStr">
        <is>
          <t xml:space="preserve"> PMP1273861 </t>
        </is>
      </c>
    </row>
    <row r="281">
      <c r="C281" s="10" t="inlineStr">
        <is>
          <t>Factura Acrededor</t>
        </is>
      </c>
      <c r="D281" s="10" t="inlineStr">
        <is>
          <t>PMP1274138</t>
        </is>
      </c>
      <c r="E281" s="6" t="n">
        <v>-142499</v>
      </c>
      <c r="F281" s="10" t="inlineStr"/>
      <c r="G281" s="10" t="inlineStr"/>
      <c r="H281" s="6" t="n">
        <v>-142499</v>
      </c>
      <c r="I281" s="11" t="inlineStr">
        <is>
          <t xml:space="preserve"> PMP1274138 UNILEVER ANDINA COLOMBIA LTDA</t>
        </is>
      </c>
    </row>
    <row r="282">
      <c r="C282" s="10" t="inlineStr">
        <is>
          <t>Factura Acrededor</t>
        </is>
      </c>
      <c r="D282" s="10" t="inlineStr">
        <is>
          <t>PMP1274137</t>
        </is>
      </c>
      <c r="E282" s="6" t="n">
        <v>-729379</v>
      </c>
      <c r="F282" s="10" t="inlineStr"/>
      <c r="G282" s="10" t="inlineStr"/>
      <c r="H282" s="6" t="n">
        <v>-729379</v>
      </c>
      <c r="I282" s="11" t="inlineStr">
        <is>
          <t xml:space="preserve"> PMP1274137 UNILEVER ANDINA COLOMBIA LTDA</t>
        </is>
      </c>
    </row>
    <row r="283">
      <c r="C283" s="10" t="inlineStr">
        <is>
          <t>Factura Acrededor</t>
        </is>
      </c>
      <c r="D283" s="10" t="inlineStr">
        <is>
          <t>PMP1273386</t>
        </is>
      </c>
      <c r="E283" s="6" t="n">
        <v>-455311</v>
      </c>
      <c r="F283" s="10" t="inlineStr"/>
      <c r="G283" s="10" t="inlineStr"/>
      <c r="H283" s="6" t="n">
        <v>-455311</v>
      </c>
      <c r="I283" s="11" t="inlineStr">
        <is>
          <t xml:space="preserve"> PMP1273386 UNILEVER ANDINA COLOMBIA LTDA</t>
        </is>
      </c>
    </row>
    <row r="284">
      <c r="C284" s="10" t="inlineStr">
        <is>
          <t>Factura Acrededor</t>
        </is>
      </c>
      <c r="D284" s="10" t="inlineStr">
        <is>
          <t>PMP1270674</t>
        </is>
      </c>
      <c r="E284" s="6" t="n">
        <v>-427499</v>
      </c>
      <c r="F284" s="10" t="inlineStr"/>
      <c r="G284" s="10" t="inlineStr"/>
      <c r="H284" s="6" t="n">
        <v>-427499</v>
      </c>
      <c r="I284" s="11" t="inlineStr">
        <is>
          <t xml:space="preserve"> PMP1270674 UNILEVER ANDINA COLOMBIA LTDA</t>
        </is>
      </c>
    </row>
    <row r="285">
      <c r="C285" s="10" t="inlineStr">
        <is>
          <t>Factura Acrededor</t>
        </is>
      </c>
      <c r="D285" s="10" t="inlineStr">
        <is>
          <t>PMP1273385</t>
        </is>
      </c>
      <c r="E285" s="6" t="n">
        <v>-5374577</v>
      </c>
      <c r="F285" s="10" t="inlineStr"/>
      <c r="G285" s="10" t="inlineStr"/>
      <c r="H285" s="6" t="n">
        <v>-5374577</v>
      </c>
      <c r="I285" s="11" t="inlineStr">
        <is>
          <t xml:space="preserve"> PMP1273385 UNILEVER ANDINA COLOMBIA LTDA</t>
        </is>
      </c>
    </row>
    <row r="286">
      <c r="C286" s="10" t="inlineStr">
        <is>
          <t>Factura Acrededor</t>
        </is>
      </c>
      <c r="D286" s="10" t="inlineStr">
        <is>
          <t>PMP1277204</t>
        </is>
      </c>
      <c r="E286" s="6" t="n">
        <v>-18507728</v>
      </c>
      <c r="F286" s="10" t="inlineStr"/>
      <c r="G286" s="10" t="inlineStr"/>
      <c r="H286" s="6" t="n">
        <v>-18507728</v>
      </c>
      <c r="I286" s="11" t="inlineStr">
        <is>
          <t xml:space="preserve"> PMP1277204 UNILEVER ANDINA COLOMBIA LTDA</t>
        </is>
      </c>
    </row>
    <row r="287">
      <c r="C287" s="10" t="inlineStr">
        <is>
          <t>Factura Acrededor</t>
        </is>
      </c>
      <c r="D287" s="10" t="inlineStr">
        <is>
          <t>PMP1273877</t>
        </is>
      </c>
      <c r="E287" s="6" t="n">
        <v>-9319221</v>
      </c>
      <c r="F287" s="10" t="inlineStr"/>
      <c r="G287" s="10" t="inlineStr"/>
      <c r="H287" s="6" t="n">
        <v>-9319221</v>
      </c>
      <c r="I287" s="11" t="inlineStr">
        <is>
          <t xml:space="preserve"> PMP1273877 UNILEVER ANDINA COLOMBIA LTDA</t>
        </is>
      </c>
    </row>
    <row r="288">
      <c r="C288" s="10" t="inlineStr">
        <is>
          <t>Factura Acrededor</t>
        </is>
      </c>
      <c r="D288" s="10" t="inlineStr">
        <is>
          <t>PMP1258127</t>
        </is>
      </c>
      <c r="E288" s="6" t="n">
        <v>-10046126</v>
      </c>
      <c r="F288" s="10" t="inlineStr"/>
      <c r="G288" s="10" t="inlineStr"/>
      <c r="H288" s="6" t="n">
        <v>-10046126</v>
      </c>
      <c r="I288" s="11" t="inlineStr">
        <is>
          <t xml:space="preserve"> PMP1258127 </t>
        </is>
      </c>
    </row>
    <row r="289">
      <c r="C289" s="10" t="inlineStr">
        <is>
          <t>Factura Acrededor</t>
        </is>
      </c>
      <c r="D289" s="10" t="inlineStr">
        <is>
          <t>PMP1273596</t>
        </is>
      </c>
      <c r="E289" s="6" t="n">
        <v>-28749643</v>
      </c>
      <c r="F289" s="10" t="inlineStr"/>
      <c r="G289" s="10" t="inlineStr"/>
      <c r="H289" s="6" t="n">
        <v>-28749643</v>
      </c>
      <c r="I289" s="11" t="inlineStr">
        <is>
          <t xml:space="preserve"> PMP1273596 UNILEVER ANDINA COLOMBIA LTDA</t>
        </is>
      </c>
    </row>
    <row r="290">
      <c r="C290" s="10" t="inlineStr">
        <is>
          <t>Factura Acrededor</t>
        </is>
      </c>
      <c r="D290" s="10" t="inlineStr">
        <is>
          <t>PMP1273390</t>
        </is>
      </c>
      <c r="E290" s="6" t="n">
        <v>-27635502</v>
      </c>
      <c r="F290" s="10" t="inlineStr"/>
      <c r="G290" s="10" t="inlineStr"/>
      <c r="H290" s="6" t="n">
        <v>-27635502</v>
      </c>
      <c r="I290" s="11" t="inlineStr">
        <is>
          <t xml:space="preserve"> PMP1273390 UNILEVER ANDINA COLOMBIA LTDA</t>
        </is>
      </c>
    </row>
    <row r="291">
      <c r="C291" s="10" t="inlineStr">
        <is>
          <t>Factura Acrededor</t>
        </is>
      </c>
      <c r="D291" s="10" t="inlineStr">
        <is>
          <t>PMP1273114</t>
        </is>
      </c>
      <c r="E291" s="6" t="n">
        <v>-1637235</v>
      </c>
      <c r="F291" s="10" t="inlineStr"/>
      <c r="G291" s="10" t="inlineStr"/>
      <c r="H291" s="6" t="n">
        <v>-1637235</v>
      </c>
      <c r="I291" s="11" t="inlineStr">
        <is>
          <t xml:space="preserve"> PMP1273114 UNILEVER ANDINA COLOMBIA LTDA</t>
        </is>
      </c>
    </row>
    <row r="292">
      <c r="C292" s="10" t="inlineStr">
        <is>
          <t>Factura Acrededor</t>
        </is>
      </c>
      <c r="D292" s="10" t="inlineStr">
        <is>
          <t>PMP1256445</t>
        </is>
      </c>
      <c r="E292" s="6" t="n">
        <v>-62185329</v>
      </c>
      <c r="F292" s="10" t="inlineStr"/>
      <c r="G292" s="10" t="inlineStr"/>
      <c r="H292" s="6" t="n">
        <v>-62185329</v>
      </c>
      <c r="I292" s="11" t="inlineStr">
        <is>
          <t xml:space="preserve"> PMP1256445 UNILEVER ANDINA COLOMBIA LTDA/CONCILIACION</t>
        </is>
      </c>
    </row>
    <row r="293">
      <c r="C293" s="10" t="inlineStr">
        <is>
          <t>Factura Acrededor</t>
        </is>
      </c>
      <c r="D293" s="10" t="inlineStr">
        <is>
          <t>PMP1273878</t>
        </is>
      </c>
      <c r="E293" s="6" t="n">
        <v>-154734955</v>
      </c>
      <c r="F293" s="10" t="inlineStr"/>
      <c r="G293" s="10" t="inlineStr"/>
      <c r="H293" s="6" t="n">
        <v>-154734955</v>
      </c>
      <c r="I293" s="11" t="inlineStr">
        <is>
          <t xml:space="preserve"> PMP1273878 UNILEVER ANDINA COLOMBIA LTDA/CONCILIACION</t>
        </is>
      </c>
    </row>
    <row r="294">
      <c r="C294" s="10" t="inlineStr">
        <is>
          <t>Factura Acrededor</t>
        </is>
      </c>
      <c r="D294" s="10" t="inlineStr">
        <is>
          <t>PMP1274133</t>
        </is>
      </c>
      <c r="E294" s="6" t="n">
        <v>-12603978</v>
      </c>
      <c r="F294" s="10" t="inlineStr"/>
      <c r="G294" s="10" t="inlineStr"/>
      <c r="H294" s="6" t="n">
        <v>-12603978</v>
      </c>
      <c r="I294" s="11" t="inlineStr">
        <is>
          <t xml:space="preserve"> PMP1274133 UNILEVER ANDINA COLOMBIA LTDA/CONCILIACION</t>
        </is>
      </c>
    </row>
    <row r="295">
      <c r="C295" s="10" t="inlineStr">
        <is>
          <t>Factura Acrededor</t>
        </is>
      </c>
      <c r="D295" s="10" t="inlineStr">
        <is>
          <t>PMP1273863</t>
        </is>
      </c>
      <c r="E295" s="6" t="n">
        <v>-11408205</v>
      </c>
      <c r="F295" s="10" t="inlineStr"/>
      <c r="G295" s="10" t="inlineStr"/>
      <c r="H295" s="6" t="n">
        <v>-11408205</v>
      </c>
      <c r="I295" s="11" t="inlineStr">
        <is>
          <t xml:space="preserve"> PMP1273863 </t>
        </is>
      </c>
    </row>
    <row r="296">
      <c r="C296" s="10" t="inlineStr">
        <is>
          <t>Factura Acrededor</t>
        </is>
      </c>
      <c r="D296" s="10" t="inlineStr">
        <is>
          <t>PMP1277141</t>
        </is>
      </c>
      <c r="E296" s="6" t="n">
        <v>-170311</v>
      </c>
      <c r="F296" s="10" t="inlineStr"/>
      <c r="G296" s="10" t="inlineStr"/>
      <c r="H296" s="6" t="n">
        <v>-170311</v>
      </c>
      <c r="I296" s="11" t="inlineStr">
        <is>
          <t xml:space="preserve"> PMP1277141 UNILEVER ANDINA COLOMBIA LTDA</t>
        </is>
      </c>
    </row>
    <row r="297">
      <c r="C297" s="10" t="inlineStr">
        <is>
          <t>Devolucion</t>
        </is>
      </c>
      <c r="D297" s="10" t="inlineStr">
        <is>
          <t>5009121268</t>
        </is>
      </c>
      <c r="E297" s="6" t="n">
        <v>671914</v>
      </c>
      <c r="F297" s="10" t="inlineStr">
        <is>
          <t>AVERIA</t>
        </is>
      </c>
      <c r="G297" s="10" t="inlineStr">
        <is>
          <t>522</t>
        </is>
      </c>
      <c r="H297" s="6" t="n">
        <v>671914</v>
      </c>
      <c r="I297" s="11" t="inlineStr">
        <is>
          <t xml:space="preserve">AVERIA 5009121268 </t>
        </is>
      </c>
    </row>
    <row r="298">
      <c r="C298" s="10" t="inlineStr">
        <is>
          <t>Devolucion</t>
        </is>
      </c>
      <c r="D298" s="10" t="inlineStr">
        <is>
          <t>5009121093</t>
        </is>
      </c>
      <c r="E298" s="6" t="n">
        <v>21964</v>
      </c>
      <c r="F298" s="10" t="inlineStr">
        <is>
          <t>AVERIA</t>
        </is>
      </c>
      <c r="G298" s="10" t="inlineStr">
        <is>
          <t>522</t>
        </is>
      </c>
      <c r="H298" s="6" t="n">
        <v>21964</v>
      </c>
      <c r="I298" s="11" t="inlineStr">
        <is>
          <t xml:space="preserve">AVERIA 5009121093 </t>
        </is>
      </c>
    </row>
    <row r="299">
      <c r="C299" s="10" t="inlineStr">
        <is>
          <t>Devolucion</t>
        </is>
      </c>
      <c r="D299" s="10" t="inlineStr">
        <is>
          <t>5009121260</t>
        </is>
      </c>
      <c r="E299" s="6" t="n">
        <v>21203</v>
      </c>
      <c r="F299" s="10" t="inlineStr">
        <is>
          <t>AVERIA</t>
        </is>
      </c>
      <c r="G299" s="10" t="inlineStr">
        <is>
          <t>522</t>
        </is>
      </c>
      <c r="H299" s="6" t="n">
        <v>21203</v>
      </c>
      <c r="I299" s="11" t="inlineStr">
        <is>
          <t xml:space="preserve">AVERIA 5009121260 </t>
        </is>
      </c>
    </row>
    <row r="300">
      <c r="C300" s="10" t="inlineStr">
        <is>
          <t>Devolucion</t>
        </is>
      </c>
      <c r="D300" s="10" t="inlineStr">
        <is>
          <t>5009071411</t>
        </is>
      </c>
      <c r="E300" s="6" t="n">
        <v>103265</v>
      </c>
      <c r="F300" s="10" t="inlineStr">
        <is>
          <t>AVERIA</t>
        </is>
      </c>
      <c r="G300" s="10" t="inlineStr">
        <is>
          <t>522</t>
        </is>
      </c>
      <c r="H300" s="6" t="n">
        <v>103265</v>
      </c>
      <c r="I300" s="11" t="inlineStr">
        <is>
          <t xml:space="preserve">AVERIA 5009071411 </t>
        </is>
      </c>
    </row>
    <row r="301">
      <c r="C301" s="10" t="inlineStr">
        <is>
          <t>Devolucion</t>
        </is>
      </c>
      <c r="D301" s="10" t="inlineStr">
        <is>
          <t>5009119511</t>
        </is>
      </c>
      <c r="E301" s="6" t="n">
        <v>2330814</v>
      </c>
      <c r="F301" s="10" t="inlineStr">
        <is>
          <t>AVERIA</t>
        </is>
      </c>
      <c r="G301" s="10" t="inlineStr">
        <is>
          <t>522</t>
        </is>
      </c>
      <c r="H301" s="6" t="n">
        <v>2330814</v>
      </c>
      <c r="I301" s="11" t="inlineStr">
        <is>
          <t xml:space="preserve">AVERIA 5009119511 </t>
        </is>
      </c>
    </row>
    <row r="302">
      <c r="C302" s="10" t="inlineStr">
        <is>
          <t>Devolucion</t>
        </is>
      </c>
      <c r="D302" s="10" t="inlineStr">
        <is>
          <t>5009121281</t>
        </is>
      </c>
      <c r="E302" s="6" t="n">
        <v>7343843</v>
      </c>
      <c r="F302" s="10" t="inlineStr">
        <is>
          <t>AVERIA</t>
        </is>
      </c>
      <c r="G302" s="10" t="inlineStr">
        <is>
          <t>522</t>
        </is>
      </c>
      <c r="H302" s="6" t="n">
        <v>7343843</v>
      </c>
      <c r="I302" s="11" t="inlineStr">
        <is>
          <t xml:space="preserve">AVERIA 5009121281 </t>
        </is>
      </c>
    </row>
    <row r="303">
      <c r="C303" s="10" t="inlineStr">
        <is>
          <t>Devolucion</t>
        </is>
      </c>
      <c r="D303" s="10" t="inlineStr">
        <is>
          <t>5009113522</t>
        </is>
      </c>
      <c r="E303" s="6" t="n">
        <v>58141</v>
      </c>
      <c r="F303" s="10" t="inlineStr">
        <is>
          <t>AVERIA</t>
        </is>
      </c>
      <c r="G303" s="10" t="inlineStr">
        <is>
          <t>522</t>
        </is>
      </c>
      <c r="H303" s="6" t="n">
        <v>58141</v>
      </c>
      <c r="I303" s="11" t="inlineStr">
        <is>
          <t xml:space="preserve">AVERIA 5009113522 </t>
        </is>
      </c>
    </row>
    <row r="304">
      <c r="C304" s="10" t="inlineStr">
        <is>
          <t>Devolucion</t>
        </is>
      </c>
      <c r="D304" s="10" t="inlineStr">
        <is>
          <t>5009121574</t>
        </is>
      </c>
      <c r="E304" s="6" t="n">
        <v>867465</v>
      </c>
      <c r="F304" s="10" t="inlineStr">
        <is>
          <t>AVERIA</t>
        </is>
      </c>
      <c r="G304" s="10" t="inlineStr">
        <is>
          <t>522</t>
        </is>
      </c>
      <c r="H304" s="6" t="n">
        <v>867465</v>
      </c>
      <c r="I304" s="11" t="inlineStr">
        <is>
          <t xml:space="preserve">AVERIA 5009121574 </t>
        </is>
      </c>
    </row>
    <row r="305">
      <c r="C305" s="10" t="inlineStr">
        <is>
          <t>Devolucion</t>
        </is>
      </c>
      <c r="D305" s="10" t="inlineStr">
        <is>
          <t>5009107002</t>
        </is>
      </c>
      <c r="E305" s="6" t="n">
        <v>24318</v>
      </c>
      <c r="F305" s="10" t="inlineStr">
        <is>
          <t>AVERIA</t>
        </is>
      </c>
      <c r="G305" s="10" t="inlineStr">
        <is>
          <t>522</t>
        </is>
      </c>
      <c r="H305" s="6" t="n">
        <v>24318</v>
      </c>
      <c r="I305" s="11" t="inlineStr">
        <is>
          <t xml:space="preserve">AVERIA 5009107002 </t>
        </is>
      </c>
    </row>
    <row r="306">
      <c r="C306" s="10" t="inlineStr">
        <is>
          <t>Devolucion</t>
        </is>
      </c>
      <c r="D306" s="10" t="inlineStr">
        <is>
          <t>5009107003</t>
        </is>
      </c>
      <c r="E306" s="6" t="n">
        <v>193803</v>
      </c>
      <c r="F306" s="10" t="inlineStr">
        <is>
          <t>AVERIA</t>
        </is>
      </c>
      <c r="G306" s="10" t="inlineStr">
        <is>
          <t>522</t>
        </is>
      </c>
      <c r="H306" s="6" t="n">
        <v>193803</v>
      </c>
      <c r="I306" s="11" t="inlineStr">
        <is>
          <t xml:space="preserve">AVERIA 5009107003 </t>
        </is>
      </c>
    </row>
    <row r="307">
      <c r="C307" s="10" t="inlineStr">
        <is>
          <t>Devolucion</t>
        </is>
      </c>
      <c r="D307" s="10" t="inlineStr">
        <is>
          <t>5009102502</t>
        </is>
      </c>
      <c r="E307" s="6" t="n">
        <v>10564</v>
      </c>
      <c r="F307" s="10" t="inlineStr">
        <is>
          <t>AVERIA</t>
        </is>
      </c>
      <c r="G307" s="10" t="inlineStr">
        <is>
          <t>522</t>
        </is>
      </c>
      <c r="H307" s="6" t="n">
        <v>10564</v>
      </c>
      <c r="I307" s="11" t="inlineStr">
        <is>
          <t xml:space="preserve">AVERIA 5009102502 </t>
        </is>
      </c>
    </row>
    <row r="308">
      <c r="C308" s="10" t="inlineStr">
        <is>
          <t>Devolucion</t>
        </is>
      </c>
      <c r="D308" s="10" t="inlineStr">
        <is>
          <t>5009119418</t>
        </is>
      </c>
      <c r="E308" s="6" t="n">
        <v>295664</v>
      </c>
      <c r="F308" s="10" t="inlineStr">
        <is>
          <t>AVERIA</t>
        </is>
      </c>
      <c r="G308" s="10" t="inlineStr">
        <is>
          <t>522</t>
        </is>
      </c>
      <c r="H308" s="6" t="n">
        <v>295664</v>
      </c>
      <c r="I308" s="11" t="inlineStr">
        <is>
          <t xml:space="preserve">AVERIA 5009119418 </t>
        </is>
      </c>
    </row>
    <row r="309">
      <c r="C309" s="10" t="inlineStr">
        <is>
          <t>Devolucion</t>
        </is>
      </c>
      <c r="D309" s="10" t="inlineStr">
        <is>
          <t>5009060500</t>
        </is>
      </c>
      <c r="E309" s="6" t="n">
        <v>726565</v>
      </c>
      <c r="F309" s="10" t="inlineStr">
        <is>
          <t>AVERIA</t>
        </is>
      </c>
      <c r="G309" s="10" t="inlineStr">
        <is>
          <t>522</t>
        </is>
      </c>
      <c r="H309" s="6" t="n">
        <v>726565</v>
      </c>
      <c r="I309" s="11" t="inlineStr">
        <is>
          <t xml:space="preserve">AVERIA 5009060500 </t>
        </is>
      </c>
    </row>
    <row r="310">
      <c r="C310" s="10" t="inlineStr">
        <is>
          <t>Devolucion</t>
        </is>
      </c>
      <c r="D310" s="10" t="inlineStr">
        <is>
          <t>5009073507</t>
        </is>
      </c>
      <c r="E310" s="6" t="n">
        <v>31843</v>
      </c>
      <c r="F310" s="10" t="inlineStr">
        <is>
          <t>AVERIA</t>
        </is>
      </c>
      <c r="G310" s="10" t="inlineStr">
        <is>
          <t>522</t>
        </is>
      </c>
      <c r="H310" s="6" t="n">
        <v>31843</v>
      </c>
      <c r="I310" s="11" t="inlineStr">
        <is>
          <t xml:space="preserve">AVERIA 5009073507 </t>
        </is>
      </c>
    </row>
    <row r="311">
      <c r="C311" s="10" t="inlineStr">
        <is>
          <t>Devolucion</t>
        </is>
      </c>
      <c r="D311" s="10" t="inlineStr">
        <is>
          <t>5009114135</t>
        </is>
      </c>
      <c r="E311" s="6" t="n">
        <v>15428</v>
      </c>
      <c r="F311" s="10" t="inlineStr">
        <is>
          <t>AVERIA</t>
        </is>
      </c>
      <c r="G311" s="10" t="inlineStr">
        <is>
          <t>522</t>
        </is>
      </c>
      <c r="H311" s="6" t="n">
        <v>15428</v>
      </c>
      <c r="I311" s="11" t="inlineStr">
        <is>
          <t xml:space="preserve">AVERIA 5009114135 </t>
        </is>
      </c>
    </row>
    <row r="312">
      <c r="C312" s="10" t="inlineStr">
        <is>
          <t>Devolucion</t>
        </is>
      </c>
      <c r="D312" s="10" t="inlineStr">
        <is>
          <t>5009102501</t>
        </is>
      </c>
      <c r="E312" s="6" t="n">
        <v>26879</v>
      </c>
      <c r="F312" s="10" t="inlineStr">
        <is>
          <t>AVERIA</t>
        </is>
      </c>
      <c r="G312" s="10" t="inlineStr">
        <is>
          <t>522</t>
        </is>
      </c>
      <c r="H312" s="6" t="n">
        <v>26879</v>
      </c>
      <c r="I312" s="11" t="inlineStr">
        <is>
          <t xml:space="preserve">AVERIA 5009102501 </t>
        </is>
      </c>
    </row>
    <row r="313">
      <c r="C313" s="10" t="inlineStr">
        <is>
          <t>Devolucion</t>
        </is>
      </c>
      <c r="D313" s="10" t="inlineStr">
        <is>
          <t>5009060496</t>
        </is>
      </c>
      <c r="E313" s="6" t="n">
        <v>258304</v>
      </c>
      <c r="F313" s="10" t="inlineStr">
        <is>
          <t>AVERIA</t>
        </is>
      </c>
      <c r="G313" s="10" t="inlineStr">
        <is>
          <t>522</t>
        </is>
      </c>
      <c r="H313" s="6" t="n">
        <v>258304</v>
      </c>
      <c r="I313" s="11" t="inlineStr">
        <is>
          <t xml:space="preserve">AVERIA 5009060496 </t>
        </is>
      </c>
    </row>
    <row r="314">
      <c r="C314" s="10" t="inlineStr">
        <is>
          <t>Devolucion</t>
        </is>
      </c>
      <c r="D314" s="10" t="inlineStr">
        <is>
          <t>5009087714</t>
        </is>
      </c>
      <c r="E314" s="6" t="n">
        <v>396939</v>
      </c>
      <c r="F314" s="10" t="inlineStr">
        <is>
          <t>AVERIA</t>
        </is>
      </c>
      <c r="G314" s="10" t="inlineStr">
        <is>
          <t>522</t>
        </is>
      </c>
      <c r="H314" s="6" t="n">
        <v>396939</v>
      </c>
      <c r="I314" s="11" t="inlineStr">
        <is>
          <t xml:space="preserve">AVERIA 5009087714 </t>
        </is>
      </c>
    </row>
    <row r="315">
      <c r="C315" s="10" t="inlineStr">
        <is>
          <t>Devolucion</t>
        </is>
      </c>
      <c r="D315" s="10" t="inlineStr">
        <is>
          <t>5009088422</t>
        </is>
      </c>
      <c r="E315" s="6" t="n">
        <v>266492</v>
      </c>
      <c r="F315" s="10" t="inlineStr">
        <is>
          <t>AVERIA</t>
        </is>
      </c>
      <c r="G315" s="10" t="inlineStr">
        <is>
          <t>522</t>
        </is>
      </c>
      <c r="H315" s="6" t="n">
        <v>266492</v>
      </c>
      <c r="I315" s="11" t="inlineStr">
        <is>
          <t xml:space="preserve">AVERIA 5009088422 </t>
        </is>
      </c>
    </row>
    <row r="316">
      <c r="C316" s="10" t="inlineStr">
        <is>
          <t>Devolucion</t>
        </is>
      </c>
      <c r="D316" s="10" t="inlineStr">
        <is>
          <t>5009087951</t>
        </is>
      </c>
      <c r="E316" s="6" t="n">
        <v>112955</v>
      </c>
      <c r="F316" s="10" t="inlineStr">
        <is>
          <t>AVERIA</t>
        </is>
      </c>
      <c r="G316" s="10" t="inlineStr">
        <is>
          <t>522</t>
        </is>
      </c>
      <c r="H316" s="6" t="n">
        <v>112955</v>
      </c>
      <c r="I316" s="11" t="inlineStr">
        <is>
          <t xml:space="preserve">AVERIA 5009087951 </t>
        </is>
      </c>
    </row>
    <row r="317">
      <c r="C317" s="10" t="inlineStr">
        <is>
          <t>Devolucion</t>
        </is>
      </c>
      <c r="D317" s="10" t="inlineStr">
        <is>
          <t>5009088091</t>
        </is>
      </c>
      <c r="E317" s="6" t="n">
        <v>159290</v>
      </c>
      <c r="F317" s="10" t="inlineStr">
        <is>
          <t>AVERIA</t>
        </is>
      </c>
      <c r="G317" s="10" t="inlineStr">
        <is>
          <t>522</t>
        </is>
      </c>
      <c r="H317" s="6" t="n">
        <v>159290</v>
      </c>
      <c r="I317" s="11" t="inlineStr">
        <is>
          <t xml:space="preserve">AVERIA 5009088091 </t>
        </is>
      </c>
    </row>
    <row r="318">
      <c r="C318" s="10" t="inlineStr">
        <is>
          <t>Devolucion</t>
        </is>
      </c>
      <c r="D318" s="10" t="inlineStr">
        <is>
          <t>5009087876</t>
        </is>
      </c>
      <c r="E318" s="6" t="n">
        <v>50692</v>
      </c>
      <c r="F318" s="10" t="inlineStr">
        <is>
          <t>AVERIA</t>
        </is>
      </c>
      <c r="G318" s="10" t="inlineStr">
        <is>
          <t>522</t>
        </is>
      </c>
      <c r="H318" s="6" t="n">
        <v>50692</v>
      </c>
      <c r="I318" s="11" t="inlineStr">
        <is>
          <t xml:space="preserve">AVERIA 5009087876 </t>
        </is>
      </c>
    </row>
    <row r="319">
      <c r="C319" s="10" t="inlineStr">
        <is>
          <t>Devolucion</t>
        </is>
      </c>
      <c r="D319" s="10" t="inlineStr">
        <is>
          <t>5009087468</t>
        </is>
      </c>
      <c r="E319" s="6" t="n">
        <v>3202789</v>
      </c>
      <c r="F319" s="10" t="inlineStr">
        <is>
          <t>AVERIA</t>
        </is>
      </c>
      <c r="G319" s="10" t="inlineStr">
        <is>
          <t>522</t>
        </is>
      </c>
      <c r="H319" s="6" t="n">
        <v>3202789</v>
      </c>
      <c r="I319" s="11" t="inlineStr">
        <is>
          <t xml:space="preserve">AVERIA 5009087468 </t>
        </is>
      </c>
    </row>
    <row r="320">
      <c r="C320" s="10" t="inlineStr">
        <is>
          <t>Devolucion</t>
        </is>
      </c>
      <c r="D320" s="10" t="inlineStr">
        <is>
          <t>5009088426</t>
        </is>
      </c>
      <c r="E320" s="6" t="n">
        <v>53757</v>
      </c>
      <c r="F320" s="10" t="inlineStr">
        <is>
          <t>AVERIA</t>
        </is>
      </c>
      <c r="G320" s="10" t="inlineStr">
        <is>
          <t>522</t>
        </is>
      </c>
      <c r="H320" s="6" t="n">
        <v>53757</v>
      </c>
      <c r="I320" s="11" t="inlineStr">
        <is>
          <t xml:space="preserve">AVERIA 5009088426 </t>
        </is>
      </c>
    </row>
    <row r="321">
      <c r="C321" s="10" t="inlineStr">
        <is>
          <t>Devolucion</t>
        </is>
      </c>
      <c r="D321" s="10" t="inlineStr">
        <is>
          <t>5009084014</t>
        </is>
      </c>
      <c r="E321" s="6" t="n">
        <v>33364</v>
      </c>
      <c r="F321" s="10" t="inlineStr">
        <is>
          <t>AVERIA</t>
        </is>
      </c>
      <c r="G321" s="10" t="inlineStr">
        <is>
          <t>522</t>
        </is>
      </c>
      <c r="H321" s="6" t="n">
        <v>33364</v>
      </c>
      <c r="I321" s="11" t="inlineStr">
        <is>
          <t xml:space="preserve">AVERIA 5009084014 </t>
        </is>
      </c>
    </row>
    <row r="322">
      <c r="C322" s="10" t="inlineStr">
        <is>
          <t>Devolucion</t>
        </is>
      </c>
      <c r="D322" s="10" t="inlineStr">
        <is>
          <t>5009071347</t>
        </is>
      </c>
      <c r="E322" s="6" t="n">
        <v>60243</v>
      </c>
      <c r="F322" s="10" t="inlineStr">
        <is>
          <t>AVERIA</t>
        </is>
      </c>
      <c r="G322" s="10" t="inlineStr">
        <is>
          <t>522</t>
        </is>
      </c>
      <c r="H322" s="6" t="n">
        <v>60243</v>
      </c>
      <c r="I322" s="11" t="inlineStr">
        <is>
          <t xml:space="preserve">AVERIA 5009071347 </t>
        </is>
      </c>
    </row>
    <row r="323">
      <c r="C323" s="10" t="inlineStr">
        <is>
          <t>Devolucion</t>
        </is>
      </c>
      <c r="D323" s="10" t="inlineStr">
        <is>
          <t>5009069426</t>
        </is>
      </c>
      <c r="E323" s="6" t="n">
        <v>58507</v>
      </c>
      <c r="F323" s="10" t="inlineStr">
        <is>
          <t>AVERIA</t>
        </is>
      </c>
      <c r="G323" s="10" t="inlineStr">
        <is>
          <t>522</t>
        </is>
      </c>
      <c r="H323" s="6" t="n">
        <v>58507</v>
      </c>
      <c r="I323" s="11" t="inlineStr">
        <is>
          <t xml:space="preserve">AVERIA 5009069426 </t>
        </is>
      </c>
    </row>
    <row r="324">
      <c r="C324" s="10" t="inlineStr">
        <is>
          <t>Devolucion</t>
        </is>
      </c>
      <c r="D324" s="10" t="inlineStr">
        <is>
          <t>5009060494</t>
        </is>
      </c>
      <c r="E324" s="6" t="n">
        <v>177816</v>
      </c>
      <c r="F324" s="10" t="inlineStr">
        <is>
          <t>AVERIA</t>
        </is>
      </c>
      <c r="G324" s="10" t="inlineStr">
        <is>
          <t>522</t>
        </is>
      </c>
      <c r="H324" s="6" t="n">
        <v>177816</v>
      </c>
      <c r="I324" s="11" t="inlineStr">
        <is>
          <t xml:space="preserve">AVERIA 5009060494 </t>
        </is>
      </c>
    </row>
    <row r="325">
      <c r="C325" s="10" t="inlineStr">
        <is>
          <t>Devolucion</t>
        </is>
      </c>
      <c r="D325" s="10" t="inlineStr">
        <is>
          <t>5009087873</t>
        </is>
      </c>
      <c r="E325" s="6" t="n">
        <v>6840</v>
      </c>
      <c r="F325" s="10" t="inlineStr">
        <is>
          <t>AVERIA</t>
        </is>
      </c>
      <c r="G325" s="10" t="inlineStr">
        <is>
          <t>522</t>
        </is>
      </c>
      <c r="H325" s="6" t="n">
        <v>6840</v>
      </c>
      <c r="I325" s="11" t="inlineStr">
        <is>
          <t xml:space="preserve">AVERIA 5009087873 </t>
        </is>
      </c>
    </row>
    <row r="326">
      <c r="C326" s="10" t="inlineStr">
        <is>
          <t>Devolucion</t>
        </is>
      </c>
      <c r="D326" s="10" t="inlineStr">
        <is>
          <t>5009119419</t>
        </is>
      </c>
      <c r="E326" s="6" t="n">
        <v>534867</v>
      </c>
      <c r="F326" s="10" t="inlineStr">
        <is>
          <t>AVERIA</t>
        </is>
      </c>
      <c r="G326" s="10" t="inlineStr">
        <is>
          <t>522</t>
        </is>
      </c>
      <c r="H326" s="6" t="n">
        <v>534867</v>
      </c>
      <c r="I326" s="11" t="inlineStr">
        <is>
          <t xml:space="preserve">AVERIA 5009119419 </t>
        </is>
      </c>
    </row>
    <row r="327">
      <c r="C327" s="10" t="inlineStr">
        <is>
          <t>Devolucion</t>
        </is>
      </c>
      <c r="D327" s="10" t="inlineStr">
        <is>
          <t>5009121267</t>
        </is>
      </c>
      <c r="E327" s="6" t="n">
        <v>1063423</v>
      </c>
      <c r="F327" s="10" t="inlineStr">
        <is>
          <t>AVERIA</t>
        </is>
      </c>
      <c r="G327" s="10" t="inlineStr">
        <is>
          <t>522</t>
        </is>
      </c>
      <c r="H327" s="6" t="n">
        <v>1063423</v>
      </c>
      <c r="I327" s="11" t="inlineStr">
        <is>
          <t xml:space="preserve">AVERIA 5009121267 </t>
        </is>
      </c>
    </row>
    <row r="328">
      <c r="C328" s="10" t="inlineStr">
        <is>
          <t>Devolucion</t>
        </is>
      </c>
      <c r="D328" s="10" t="inlineStr">
        <is>
          <t>5009121094</t>
        </is>
      </c>
      <c r="E328" s="6" t="n">
        <v>66713</v>
      </c>
      <c r="F328" s="10" t="inlineStr">
        <is>
          <t>AVERIA</t>
        </is>
      </c>
      <c r="G328" s="10" t="inlineStr">
        <is>
          <t>522</t>
        </is>
      </c>
      <c r="H328" s="6" t="n">
        <v>66713</v>
      </c>
      <c r="I328" s="11" t="inlineStr">
        <is>
          <t xml:space="preserve">AVERIA 5009121094 </t>
        </is>
      </c>
    </row>
    <row r="329">
      <c r="C329" s="10" t="inlineStr">
        <is>
          <t>Devolucion</t>
        </is>
      </c>
      <c r="D329" s="10" t="inlineStr">
        <is>
          <t>5009060498</t>
        </is>
      </c>
      <c r="E329" s="6" t="n">
        <v>312407</v>
      </c>
      <c r="F329" s="10" t="inlineStr">
        <is>
          <t>AVERIA</t>
        </is>
      </c>
      <c r="G329" s="10" t="inlineStr">
        <is>
          <t>522</t>
        </is>
      </c>
      <c r="H329" s="6" t="n">
        <v>312407</v>
      </c>
      <c r="I329" s="11" t="inlineStr">
        <is>
          <t xml:space="preserve">AVERIA 5009060498 </t>
        </is>
      </c>
    </row>
    <row r="330">
      <c r="C330" s="10" t="inlineStr">
        <is>
          <t>Devolucion</t>
        </is>
      </c>
      <c r="D330" s="10" t="inlineStr">
        <is>
          <t>5009058562</t>
        </is>
      </c>
      <c r="E330" s="6" t="n">
        <v>2743</v>
      </c>
      <c r="F330" s="10" t="inlineStr">
        <is>
          <t>AVERIA</t>
        </is>
      </c>
      <c r="G330" s="10" t="inlineStr">
        <is>
          <t>522</t>
        </is>
      </c>
      <c r="H330" s="6" t="n">
        <v>2743</v>
      </c>
      <c r="I330" s="11" t="inlineStr">
        <is>
          <t xml:space="preserve">AVERIA 5009058562 </t>
        </is>
      </c>
    </row>
    <row r="331">
      <c r="C331" s="10" t="inlineStr">
        <is>
          <t>Devolucion</t>
        </is>
      </c>
      <c r="D331" s="10" t="inlineStr">
        <is>
          <t>5009060497</t>
        </is>
      </c>
      <c r="E331" s="6" t="n">
        <v>703287</v>
      </c>
      <c r="F331" s="10" t="inlineStr">
        <is>
          <t>AVERIA</t>
        </is>
      </c>
      <c r="G331" s="10" t="inlineStr">
        <is>
          <t>522</t>
        </is>
      </c>
      <c r="H331" s="6" t="n">
        <v>703287</v>
      </c>
      <c r="I331" s="11" t="inlineStr">
        <is>
          <t xml:space="preserve">AVERIA 5009060497 </t>
        </is>
      </c>
    </row>
    <row r="332">
      <c r="C332" s="10" t="inlineStr">
        <is>
          <t>Devolucion</t>
        </is>
      </c>
      <c r="D332" s="10" t="inlineStr">
        <is>
          <t>5009065495</t>
        </is>
      </c>
      <c r="E332" s="6" t="n">
        <v>3133</v>
      </c>
      <c r="F332" s="10" t="inlineStr">
        <is>
          <t>AVERIA</t>
        </is>
      </c>
      <c r="G332" s="10" t="inlineStr">
        <is>
          <t>522</t>
        </is>
      </c>
      <c r="H332" s="6" t="n">
        <v>3133</v>
      </c>
      <c r="I332" s="11" t="inlineStr">
        <is>
          <t xml:space="preserve">AVERIA 5009065495 </t>
        </is>
      </c>
    </row>
    <row r="333">
      <c r="C333" s="10" t="inlineStr">
        <is>
          <t>Devolucion</t>
        </is>
      </c>
      <c r="D333" s="10" t="inlineStr">
        <is>
          <t>5009067560</t>
        </is>
      </c>
      <c r="E333" s="6" t="n">
        <v>2743</v>
      </c>
      <c r="F333" s="10" t="inlineStr">
        <is>
          <t>AVERIA</t>
        </is>
      </c>
      <c r="G333" s="10" t="inlineStr">
        <is>
          <t>522</t>
        </is>
      </c>
      <c r="H333" s="6" t="n">
        <v>2743</v>
      </c>
      <c r="I333" s="11" t="inlineStr">
        <is>
          <t xml:space="preserve">AVERIA 5009067560 </t>
        </is>
      </c>
    </row>
    <row r="334">
      <c r="C334" s="10" t="inlineStr">
        <is>
          <t>Devolucion</t>
        </is>
      </c>
      <c r="D334" s="10" t="inlineStr">
        <is>
          <t>5009069427</t>
        </is>
      </c>
      <c r="E334" s="6" t="n">
        <v>96276</v>
      </c>
      <c r="F334" s="10" t="inlineStr">
        <is>
          <t>AVERIA</t>
        </is>
      </c>
      <c r="G334" s="10" t="inlineStr">
        <is>
          <t>522</t>
        </is>
      </c>
      <c r="H334" s="6" t="n">
        <v>96276</v>
      </c>
      <c r="I334" s="11" t="inlineStr">
        <is>
          <t xml:space="preserve">AVERIA 5009069427 </t>
        </is>
      </c>
    </row>
    <row r="335">
      <c r="C335" s="10" t="inlineStr">
        <is>
          <t>Devolucion</t>
        </is>
      </c>
      <c r="D335" s="10" t="inlineStr">
        <is>
          <t>5009071348</t>
        </is>
      </c>
      <c r="E335" s="6" t="n">
        <v>45670</v>
      </c>
      <c r="F335" s="10" t="inlineStr">
        <is>
          <t>AVERIA</t>
        </is>
      </c>
      <c r="G335" s="10" t="inlineStr">
        <is>
          <t>522</t>
        </is>
      </c>
      <c r="H335" s="6" t="n">
        <v>45670</v>
      </c>
      <c r="I335" s="11" t="inlineStr">
        <is>
          <t xml:space="preserve">AVERIA 5009071348 </t>
        </is>
      </c>
    </row>
    <row r="336">
      <c r="C336" s="10" t="inlineStr">
        <is>
          <t>Devolucion</t>
        </is>
      </c>
      <c r="D336" s="10" t="inlineStr">
        <is>
          <t>5009072657</t>
        </is>
      </c>
      <c r="E336" s="6" t="n">
        <v>33009</v>
      </c>
      <c r="F336" s="10" t="inlineStr">
        <is>
          <t>AVERIA</t>
        </is>
      </c>
      <c r="G336" s="10" t="inlineStr">
        <is>
          <t>522</t>
        </is>
      </c>
      <c r="H336" s="6" t="n">
        <v>33009</v>
      </c>
      <c r="I336" s="11" t="inlineStr">
        <is>
          <t xml:space="preserve">AVERIA 5009072657 </t>
        </is>
      </c>
    </row>
    <row r="337">
      <c r="C337" s="10" t="inlineStr">
        <is>
          <t>Devolucion</t>
        </is>
      </c>
      <c r="D337" s="10" t="inlineStr">
        <is>
          <t>5009073505</t>
        </is>
      </c>
      <c r="E337" s="6" t="n">
        <v>25232</v>
      </c>
      <c r="F337" s="10" t="inlineStr">
        <is>
          <t>AVERIA</t>
        </is>
      </c>
      <c r="G337" s="10" t="inlineStr">
        <is>
          <t>522</t>
        </is>
      </c>
      <c r="H337" s="6" t="n">
        <v>25232</v>
      </c>
      <c r="I337" s="11" t="inlineStr">
        <is>
          <t xml:space="preserve">AVERIA 5009073505 </t>
        </is>
      </c>
    </row>
    <row r="338">
      <c r="C338" s="10" t="inlineStr">
        <is>
          <t>Devolucion</t>
        </is>
      </c>
      <c r="D338" s="10" t="inlineStr">
        <is>
          <t>5009084015</t>
        </is>
      </c>
      <c r="E338" s="6" t="n">
        <v>3534</v>
      </c>
      <c r="F338" s="10" t="inlineStr">
        <is>
          <t>AVERIA</t>
        </is>
      </c>
      <c r="G338" s="10" t="inlineStr">
        <is>
          <t>522</t>
        </is>
      </c>
      <c r="H338" s="6" t="n">
        <v>3534</v>
      </c>
      <c r="I338" s="11" t="inlineStr">
        <is>
          <t xml:space="preserve">AVERIA 5009084015 </t>
        </is>
      </c>
    </row>
    <row r="339">
      <c r="C339" s="10" t="inlineStr">
        <is>
          <t>Devolucion</t>
        </is>
      </c>
      <c r="D339" s="10" t="inlineStr">
        <is>
          <t>5009084016</t>
        </is>
      </c>
      <c r="E339" s="6" t="n">
        <v>18286</v>
      </c>
      <c r="F339" s="10" t="inlineStr">
        <is>
          <t>AVERIA</t>
        </is>
      </c>
      <c r="G339" s="10" t="inlineStr">
        <is>
          <t>522</t>
        </is>
      </c>
      <c r="H339" s="6" t="n">
        <v>18286</v>
      </c>
      <c r="I339" s="11" t="inlineStr">
        <is>
          <t xml:space="preserve">AVERIA 5009084016 </t>
        </is>
      </c>
    </row>
    <row r="340">
      <c r="C340" s="10" t="inlineStr">
        <is>
          <t>Devolucion</t>
        </is>
      </c>
      <c r="D340" s="10" t="inlineStr">
        <is>
          <t>5009088425</t>
        </is>
      </c>
      <c r="E340" s="6" t="n">
        <v>35505</v>
      </c>
      <c r="F340" s="10" t="inlineStr">
        <is>
          <t>AVERIA</t>
        </is>
      </c>
      <c r="G340" s="10" t="inlineStr">
        <is>
          <t>522</t>
        </is>
      </c>
      <c r="H340" s="6" t="n">
        <v>35505</v>
      </c>
      <c r="I340" s="11" t="inlineStr">
        <is>
          <t xml:space="preserve">AVERIA 5009088425 </t>
        </is>
      </c>
    </row>
    <row r="341">
      <c r="C341" s="10" t="inlineStr">
        <is>
          <t>Devolucion</t>
        </is>
      </c>
      <c r="D341" s="10" t="inlineStr">
        <is>
          <t>5009088012</t>
        </is>
      </c>
      <c r="E341" s="6" t="n">
        <v>30239</v>
      </c>
      <c r="F341" s="10" t="inlineStr">
        <is>
          <t>AVERIA</t>
        </is>
      </c>
      <c r="G341" s="10" t="inlineStr">
        <is>
          <t>522</t>
        </is>
      </c>
      <c r="H341" s="6" t="n">
        <v>30239</v>
      </c>
      <c r="I341" s="11" t="inlineStr">
        <is>
          <t xml:space="preserve">AVERIA 5009088012 </t>
        </is>
      </c>
    </row>
    <row r="342">
      <c r="C342" s="10" t="inlineStr">
        <is>
          <t>Devolucion</t>
        </is>
      </c>
      <c r="D342" s="10" t="inlineStr">
        <is>
          <t>5009087645</t>
        </is>
      </c>
      <c r="E342" s="6" t="n">
        <v>278553</v>
      </c>
      <c r="F342" s="10" t="inlineStr">
        <is>
          <t>AVERIA</t>
        </is>
      </c>
      <c r="G342" s="10" t="inlineStr">
        <is>
          <t>522</t>
        </is>
      </c>
      <c r="H342" s="6" t="n">
        <v>278553</v>
      </c>
      <c r="I342" s="11" t="inlineStr">
        <is>
          <t xml:space="preserve">AVERIA 5009087645 </t>
        </is>
      </c>
    </row>
    <row r="343">
      <c r="C343" s="10" t="inlineStr">
        <is>
          <t>Devolucion</t>
        </is>
      </c>
      <c r="D343" s="10" t="inlineStr">
        <is>
          <t>5009060426</t>
        </is>
      </c>
      <c r="E343" s="6" t="n">
        <v>340531</v>
      </c>
      <c r="F343" s="10" t="inlineStr">
        <is>
          <t>AVERIA</t>
        </is>
      </c>
      <c r="G343" s="10" t="inlineStr">
        <is>
          <t>522</t>
        </is>
      </c>
      <c r="H343" s="6" t="n">
        <v>340531</v>
      </c>
      <c r="I343" s="11" t="inlineStr">
        <is>
          <t xml:space="preserve">AVERIA 5009060426 </t>
        </is>
      </c>
    </row>
    <row r="344">
      <c r="C344" s="10" t="inlineStr">
        <is>
          <t>Devolucion</t>
        </is>
      </c>
      <c r="D344" s="10" t="inlineStr">
        <is>
          <t>5009087872</t>
        </is>
      </c>
      <c r="E344" s="6" t="n">
        <v>22548</v>
      </c>
      <c r="F344" s="10" t="inlineStr">
        <is>
          <t>AVERIA</t>
        </is>
      </c>
      <c r="G344" s="10" t="inlineStr">
        <is>
          <t>522</t>
        </is>
      </c>
      <c r="H344" s="6" t="n">
        <v>22548</v>
      </c>
      <c r="I344" s="11" t="inlineStr">
        <is>
          <t xml:space="preserve">AVERIA 5009087872 </t>
        </is>
      </c>
    </row>
    <row r="345">
      <c r="C345" s="10" t="inlineStr">
        <is>
          <t>Devolucion</t>
        </is>
      </c>
      <c r="D345" s="10" t="inlineStr">
        <is>
          <t>5009097610</t>
        </is>
      </c>
      <c r="E345" s="6" t="n">
        <v>2743</v>
      </c>
      <c r="F345" s="10" t="inlineStr">
        <is>
          <t>AVERIA</t>
        </is>
      </c>
      <c r="G345" s="10" t="inlineStr">
        <is>
          <t>522</t>
        </is>
      </c>
      <c r="H345" s="6" t="n">
        <v>2743</v>
      </c>
      <c r="I345" s="11" t="inlineStr">
        <is>
          <t xml:space="preserve">AVERIA 5009097610 </t>
        </is>
      </c>
    </row>
    <row r="346">
      <c r="C346" s="10" t="inlineStr">
        <is>
          <t>Devolucion</t>
        </is>
      </c>
      <c r="D346" s="10" t="inlineStr">
        <is>
          <t>5009095685</t>
        </is>
      </c>
      <c r="E346" s="6" t="n">
        <v>14166</v>
      </c>
      <c r="F346" s="10" t="inlineStr">
        <is>
          <t>AVERIA</t>
        </is>
      </c>
      <c r="G346" s="10" t="inlineStr">
        <is>
          <t>522</t>
        </is>
      </c>
      <c r="H346" s="6" t="n">
        <v>14166</v>
      </c>
      <c r="I346" s="11" t="inlineStr">
        <is>
          <t xml:space="preserve">AVERIA 5009095685 </t>
        </is>
      </c>
    </row>
    <row r="347">
      <c r="C347" s="10" t="inlineStr">
        <is>
          <t>Devolucion</t>
        </is>
      </c>
      <c r="D347" s="10" t="inlineStr">
        <is>
          <t>5009108214</t>
        </is>
      </c>
      <c r="E347" s="6" t="n">
        <v>2743</v>
      </c>
      <c r="F347" s="10" t="inlineStr">
        <is>
          <t>AVERIA</t>
        </is>
      </c>
      <c r="G347" s="10" t="inlineStr">
        <is>
          <t>522</t>
        </is>
      </c>
      <c r="H347" s="6" t="n">
        <v>2743</v>
      </c>
      <c r="I347" s="11" t="inlineStr">
        <is>
          <t xml:space="preserve">AVERIA 5009108214 </t>
        </is>
      </c>
    </row>
    <row r="348">
      <c r="C348" s="10" t="inlineStr">
        <is>
          <t>Devolucion</t>
        </is>
      </c>
      <c r="D348" s="10" t="inlineStr">
        <is>
          <t>5009063203</t>
        </is>
      </c>
      <c r="E348" s="6" t="n">
        <v>18852</v>
      </c>
      <c r="F348" s="10" t="inlineStr">
        <is>
          <t>AVERIA</t>
        </is>
      </c>
      <c r="G348" s="10" t="inlineStr">
        <is>
          <t>522</t>
        </is>
      </c>
      <c r="H348" s="6" t="n">
        <v>18852</v>
      </c>
      <c r="I348" s="11" t="inlineStr">
        <is>
          <t xml:space="preserve">AVERIA 5009063203 </t>
        </is>
      </c>
    </row>
    <row r="349">
      <c r="C349" s="10" t="inlineStr">
        <is>
          <t>Devolucion</t>
        </is>
      </c>
      <c r="D349" s="10" t="inlineStr">
        <is>
          <t>5009109080</t>
        </is>
      </c>
      <c r="E349" s="6" t="n">
        <v>13069</v>
      </c>
      <c r="F349" s="10" t="inlineStr">
        <is>
          <t>AVERIA</t>
        </is>
      </c>
      <c r="G349" s="10" t="inlineStr">
        <is>
          <t>522</t>
        </is>
      </c>
      <c r="H349" s="6" t="n">
        <v>13069</v>
      </c>
      <c r="I349" s="11" t="inlineStr">
        <is>
          <t xml:space="preserve">AVERIA 5009109080 </t>
        </is>
      </c>
    </row>
    <row r="350">
      <c r="C350" s="10" t="inlineStr">
        <is>
          <t>Devolucion</t>
        </is>
      </c>
      <c r="D350" s="10" t="inlineStr">
        <is>
          <t>5009071346</t>
        </is>
      </c>
      <c r="E350" s="6" t="n">
        <v>196992</v>
      </c>
      <c r="F350" s="10" t="inlineStr">
        <is>
          <t>AVERIA</t>
        </is>
      </c>
      <c r="G350" s="10" t="inlineStr">
        <is>
          <t>522</t>
        </is>
      </c>
      <c r="H350" s="6" t="n">
        <v>196992</v>
      </c>
      <c r="I350" s="11" t="inlineStr">
        <is>
          <t xml:space="preserve">AVERIA 5009071346 </t>
        </is>
      </c>
    </row>
    <row r="351">
      <c r="C351" s="10" t="inlineStr">
        <is>
          <t>Devolucion</t>
        </is>
      </c>
      <c r="D351" s="10" t="inlineStr">
        <is>
          <t>5009121270</t>
        </is>
      </c>
      <c r="E351" s="6" t="n">
        <v>750120</v>
      </c>
      <c r="F351" s="10" t="inlineStr">
        <is>
          <t>AVERIA</t>
        </is>
      </c>
      <c r="G351" s="10" t="inlineStr">
        <is>
          <t>522</t>
        </is>
      </c>
      <c r="H351" s="6" t="n">
        <v>750120</v>
      </c>
      <c r="I351" s="11" t="inlineStr">
        <is>
          <t xml:space="preserve">AVERIA 5009121270 </t>
        </is>
      </c>
    </row>
    <row r="352">
      <c r="C352" s="10" t="inlineStr">
        <is>
          <t>Devolucion</t>
        </is>
      </c>
      <c r="D352" s="10" t="inlineStr">
        <is>
          <t>5009063202</t>
        </is>
      </c>
      <c r="E352" s="6" t="n">
        <v>19202</v>
      </c>
      <c r="F352" s="10" t="inlineStr">
        <is>
          <t>AVERIA</t>
        </is>
      </c>
      <c r="G352" s="10" t="inlineStr">
        <is>
          <t>522</t>
        </is>
      </c>
      <c r="H352" s="6" t="n">
        <v>19202</v>
      </c>
      <c r="I352" s="11" t="inlineStr">
        <is>
          <t xml:space="preserve">AVERIA 5009063202 </t>
        </is>
      </c>
    </row>
    <row r="353">
      <c r="C353" s="10" t="inlineStr">
        <is>
          <t>Devolucion</t>
        </is>
      </c>
      <c r="D353" s="10" t="inlineStr">
        <is>
          <t>5009065494</t>
        </is>
      </c>
      <c r="E353" s="6" t="n">
        <v>34192</v>
      </c>
      <c r="F353" s="10" t="inlineStr">
        <is>
          <t>AVERIA</t>
        </is>
      </c>
      <c r="G353" s="10" t="inlineStr">
        <is>
          <t>522</t>
        </is>
      </c>
      <c r="H353" s="6" t="n">
        <v>34192</v>
      </c>
      <c r="I353" s="11" t="inlineStr">
        <is>
          <t xml:space="preserve">AVERIA 5009065494 </t>
        </is>
      </c>
    </row>
    <row r="354">
      <c r="C354" s="10" t="inlineStr">
        <is>
          <t>Devolucion</t>
        </is>
      </c>
      <c r="D354" s="10" t="inlineStr">
        <is>
          <t>5009067455</t>
        </is>
      </c>
      <c r="E354" s="6" t="n">
        <v>19202</v>
      </c>
      <c r="F354" s="10" t="inlineStr">
        <is>
          <t>AVERIA</t>
        </is>
      </c>
      <c r="G354" s="10" t="inlineStr">
        <is>
          <t>522</t>
        </is>
      </c>
      <c r="H354" s="6" t="n">
        <v>19202</v>
      </c>
      <c r="I354" s="11" t="inlineStr">
        <is>
          <t xml:space="preserve">AVERIA 5009067455 </t>
        </is>
      </c>
    </row>
    <row r="355">
      <c r="C355" s="10" t="inlineStr">
        <is>
          <t>Devolucion</t>
        </is>
      </c>
      <c r="D355" s="10" t="inlineStr">
        <is>
          <t>5009121261</t>
        </is>
      </c>
      <c r="E355" s="6" t="n">
        <v>35334</v>
      </c>
      <c r="F355" s="10" t="inlineStr">
        <is>
          <t>AVERIA</t>
        </is>
      </c>
      <c r="G355" s="10" t="inlineStr">
        <is>
          <t>522</t>
        </is>
      </c>
      <c r="H355" s="6" t="n">
        <v>35334</v>
      </c>
      <c r="I355" s="11" t="inlineStr">
        <is>
          <t xml:space="preserve">AVERIA 5009121261 </t>
        </is>
      </c>
    </row>
    <row r="356">
      <c r="C356" s="10" t="inlineStr">
        <is>
          <t>Devolucion</t>
        </is>
      </c>
      <c r="D356" s="10" t="inlineStr">
        <is>
          <t>5009119417</t>
        </is>
      </c>
      <c r="E356" s="6" t="n">
        <v>615131</v>
      </c>
      <c r="F356" s="10" t="inlineStr">
        <is>
          <t>AVERIA</t>
        </is>
      </c>
      <c r="G356" s="10" t="inlineStr">
        <is>
          <t>522</t>
        </is>
      </c>
      <c r="H356" s="6" t="n">
        <v>615131</v>
      </c>
      <c r="I356" s="11" t="inlineStr">
        <is>
          <t xml:space="preserve">AVERIA 5009119417 </t>
        </is>
      </c>
    </row>
    <row r="357">
      <c r="C357" s="10" t="inlineStr">
        <is>
          <t>Devolucion</t>
        </is>
      </c>
      <c r="D357" s="10" t="inlineStr">
        <is>
          <t>5009114437</t>
        </is>
      </c>
      <c r="E357" s="6" t="n">
        <v>18696</v>
      </c>
      <c r="F357" s="10" t="inlineStr">
        <is>
          <t>AVERIA</t>
        </is>
      </c>
      <c r="G357" s="10" t="inlineStr">
        <is>
          <t>522</t>
        </is>
      </c>
      <c r="H357" s="6" t="n">
        <v>18696</v>
      </c>
      <c r="I357" s="11" t="inlineStr">
        <is>
          <t xml:space="preserve">AVERIA 5009114437 </t>
        </is>
      </c>
    </row>
    <row r="358">
      <c r="C358" s="10" t="inlineStr">
        <is>
          <t>Devolucion</t>
        </is>
      </c>
      <c r="D358" s="10" t="inlineStr">
        <is>
          <t>5009107001</t>
        </is>
      </c>
      <c r="E358" s="6" t="n">
        <v>18852</v>
      </c>
      <c r="F358" s="10" t="inlineStr">
        <is>
          <t>AVERIA</t>
        </is>
      </c>
      <c r="G358" s="10" t="inlineStr">
        <is>
          <t>522</t>
        </is>
      </c>
      <c r="H358" s="6" t="n">
        <v>18852</v>
      </c>
      <c r="I358" s="11" t="inlineStr">
        <is>
          <t xml:space="preserve">AVERIA 5009107001 </t>
        </is>
      </c>
    </row>
    <row r="359">
      <c r="C359" s="10" t="inlineStr">
        <is>
          <t>Devolucion</t>
        </is>
      </c>
      <c r="D359" s="10" t="inlineStr">
        <is>
          <t>5009121095</t>
        </is>
      </c>
      <c r="E359" s="6" t="n">
        <v>9729</v>
      </c>
      <c r="F359" s="10" t="inlineStr">
        <is>
          <t>AVERIA</t>
        </is>
      </c>
      <c r="G359" s="10" t="inlineStr">
        <is>
          <t>522</t>
        </is>
      </c>
      <c r="H359" s="6" t="n">
        <v>9729</v>
      </c>
      <c r="I359" s="11" t="inlineStr">
        <is>
          <t xml:space="preserve">AVERIA 5009121095 </t>
        </is>
      </c>
    </row>
    <row r="360">
      <c r="C360" s="10" t="inlineStr">
        <is>
          <t>Devolucion</t>
        </is>
      </c>
      <c r="D360" s="10" t="inlineStr">
        <is>
          <t>5009088427</t>
        </is>
      </c>
      <c r="E360" s="6" t="n">
        <v>57174</v>
      </c>
      <c r="F360" s="10" t="inlineStr">
        <is>
          <t>AVERIA</t>
        </is>
      </c>
      <c r="G360" s="10" t="inlineStr">
        <is>
          <t>522</t>
        </is>
      </c>
      <c r="H360" s="6" t="n">
        <v>57174</v>
      </c>
      <c r="I360" s="11" t="inlineStr">
        <is>
          <t xml:space="preserve">AVERIA 5009088427 </t>
        </is>
      </c>
    </row>
    <row r="361">
      <c r="C361" s="10" t="inlineStr">
        <is>
          <t>Devolucion</t>
        </is>
      </c>
      <c r="D361" s="10" t="inlineStr">
        <is>
          <t>5009087954</t>
        </is>
      </c>
      <c r="E361" s="6" t="n">
        <v>172526</v>
      </c>
      <c r="F361" s="10" t="inlineStr">
        <is>
          <t>AVERIA</t>
        </is>
      </c>
      <c r="G361" s="10" t="inlineStr">
        <is>
          <t>522</t>
        </is>
      </c>
      <c r="H361" s="6" t="n">
        <v>172526</v>
      </c>
      <c r="I361" s="11" t="inlineStr">
        <is>
          <t xml:space="preserve">AVERIA 5009087954 </t>
        </is>
      </c>
    </row>
    <row r="362">
      <c r="C362" s="10" t="inlineStr">
        <is>
          <t>Devolucion</t>
        </is>
      </c>
      <c r="D362" s="10" t="inlineStr">
        <is>
          <t>5009087567</t>
        </is>
      </c>
      <c r="E362" s="6" t="n">
        <v>183754</v>
      </c>
      <c r="F362" s="10" t="inlineStr">
        <is>
          <t>AVERIA</t>
        </is>
      </c>
      <c r="G362" s="10" t="inlineStr">
        <is>
          <t>522</t>
        </is>
      </c>
      <c r="H362" s="6" t="n">
        <v>183754</v>
      </c>
      <c r="I362" s="11" t="inlineStr">
        <is>
          <t xml:space="preserve">AVERIA 5009087567 </t>
        </is>
      </c>
    </row>
    <row r="363">
      <c r="C363" s="10" t="inlineStr">
        <is>
          <t>Devolucion</t>
        </is>
      </c>
      <c r="D363" s="10" t="inlineStr">
        <is>
          <t>5009053363</t>
        </is>
      </c>
      <c r="E363" s="6" t="n">
        <v>218884</v>
      </c>
      <c r="F363" s="10" t="inlineStr">
        <is>
          <t>AVERIA</t>
        </is>
      </c>
      <c r="G363" s="10" t="inlineStr">
        <is>
          <t>522</t>
        </is>
      </c>
      <c r="H363" s="6" t="n">
        <v>218884</v>
      </c>
      <c r="I363" s="11" t="inlineStr">
        <is>
          <t xml:space="preserve">AVERIA 5009053363 </t>
        </is>
      </c>
    </row>
    <row r="364">
      <c r="C364" s="10" t="inlineStr">
        <is>
          <t>Devolucion</t>
        </is>
      </c>
      <c r="D364" s="10" t="inlineStr">
        <is>
          <t>5009121269</t>
        </is>
      </c>
      <c r="E364" s="6" t="n">
        <v>5439584</v>
      </c>
      <c r="F364" s="10" t="inlineStr">
        <is>
          <t>AVERIA</t>
        </is>
      </c>
      <c r="G364" s="10" t="inlineStr">
        <is>
          <t>522</t>
        </is>
      </c>
      <c r="H364" s="6" t="n">
        <v>5439584</v>
      </c>
      <c r="I364" s="11" t="inlineStr">
        <is>
          <t xml:space="preserve">AVERIA 5009121269 </t>
        </is>
      </c>
    </row>
    <row r="365">
      <c r="C365" s="10" t="inlineStr">
        <is>
          <t>Devolucion</t>
        </is>
      </c>
      <c r="D365" s="10" t="inlineStr">
        <is>
          <t>5009119420</t>
        </is>
      </c>
      <c r="E365" s="6" t="n">
        <v>2285323</v>
      </c>
      <c r="F365" s="10" t="inlineStr">
        <is>
          <t>AVERIA</t>
        </is>
      </c>
      <c r="G365" s="10" t="inlineStr">
        <is>
          <t>522</t>
        </is>
      </c>
      <c r="H365" s="6" t="n">
        <v>2285323</v>
      </c>
      <c r="I365" s="11" t="inlineStr">
        <is>
          <t xml:space="preserve">AVERIA 5009119420 </t>
        </is>
      </c>
    </row>
    <row r="366">
      <c r="C366" s="10" t="inlineStr">
        <is>
          <t>Devolucion</t>
        </is>
      </c>
      <c r="D366" s="10" t="inlineStr">
        <is>
          <t>5009114165</t>
        </is>
      </c>
      <c r="E366" s="6" t="n">
        <v>396441</v>
      </c>
      <c r="F366" s="10" t="inlineStr">
        <is>
          <t>AVERIA</t>
        </is>
      </c>
      <c r="G366" s="10" t="inlineStr">
        <is>
          <t>522</t>
        </is>
      </c>
      <c r="H366" s="6" t="n">
        <v>396441</v>
      </c>
      <c r="I366" s="11" t="inlineStr">
        <is>
          <t xml:space="preserve">AVERIA 5009114165 </t>
        </is>
      </c>
    </row>
    <row r="367">
      <c r="C367" s="10" t="inlineStr">
        <is>
          <t>Devolucion</t>
        </is>
      </c>
      <c r="D367" s="10" t="inlineStr">
        <is>
          <t>5009069428</t>
        </is>
      </c>
      <c r="E367" s="6" t="n">
        <v>48414</v>
      </c>
      <c r="F367" s="10" t="inlineStr">
        <is>
          <t>AVERIA</t>
        </is>
      </c>
      <c r="G367" s="10" t="inlineStr">
        <is>
          <t>522</t>
        </is>
      </c>
      <c r="H367" s="6" t="n">
        <v>48414</v>
      </c>
      <c r="I367" s="11" t="inlineStr">
        <is>
          <t xml:space="preserve">AVERIA 5009069428 </t>
        </is>
      </c>
    </row>
    <row r="368">
      <c r="C368" s="10" t="inlineStr">
        <is>
          <t>Devolucion</t>
        </is>
      </c>
      <c r="D368" s="10" t="inlineStr">
        <is>
          <t>5009114573</t>
        </is>
      </c>
      <c r="E368" s="6" t="n">
        <v>29253</v>
      </c>
      <c r="F368" s="10" t="inlineStr">
        <is>
          <t>AVERIA</t>
        </is>
      </c>
      <c r="G368" s="10" t="inlineStr">
        <is>
          <t>522</t>
        </is>
      </c>
      <c r="H368" s="6" t="n">
        <v>29253</v>
      </c>
      <c r="I368" s="11" t="inlineStr">
        <is>
          <t xml:space="preserve">AVERIA 5009114573 </t>
        </is>
      </c>
    </row>
    <row r="369">
      <c r="C369" s="10" t="inlineStr">
        <is>
          <t>Devolucion</t>
        </is>
      </c>
      <c r="D369" s="10" t="inlineStr">
        <is>
          <t>5009107006</t>
        </is>
      </c>
      <c r="E369" s="6" t="n">
        <v>53460</v>
      </c>
      <c r="F369" s="10" t="inlineStr">
        <is>
          <t>AVERIA</t>
        </is>
      </c>
      <c r="G369" s="10" t="inlineStr">
        <is>
          <t>522</t>
        </is>
      </c>
      <c r="H369" s="6" t="n">
        <v>53460</v>
      </c>
      <c r="I369" s="11" t="inlineStr">
        <is>
          <t xml:space="preserve">AVERIA 5009107006 </t>
        </is>
      </c>
    </row>
    <row r="370">
      <c r="C370" s="10" t="inlineStr">
        <is>
          <t>Devolucion</t>
        </is>
      </c>
      <c r="D370" s="10" t="inlineStr">
        <is>
          <t>5009088092</t>
        </is>
      </c>
      <c r="E370" s="6" t="n">
        <v>177206</v>
      </c>
      <c r="F370" s="10" t="inlineStr">
        <is>
          <t>AVERIA</t>
        </is>
      </c>
      <c r="G370" s="10" t="inlineStr">
        <is>
          <t>522</t>
        </is>
      </c>
      <c r="H370" s="6" t="n">
        <v>177206</v>
      </c>
      <c r="I370" s="11" t="inlineStr">
        <is>
          <t xml:space="preserve">AVERIA 5009088092 </t>
        </is>
      </c>
    </row>
    <row r="371">
      <c r="C371" s="10" t="inlineStr">
        <is>
          <t>Devolucion</t>
        </is>
      </c>
      <c r="D371" s="10" t="inlineStr">
        <is>
          <t>5009086700</t>
        </is>
      </c>
      <c r="E371" s="6" t="n">
        <v>2430492</v>
      </c>
      <c r="F371" s="10" t="inlineStr">
        <is>
          <t>AVERIA</t>
        </is>
      </c>
      <c r="G371" s="10" t="inlineStr">
        <is>
          <t>522</t>
        </is>
      </c>
      <c r="H371" s="6" t="n">
        <v>2430492</v>
      </c>
      <c r="I371" s="11" t="inlineStr">
        <is>
          <t xml:space="preserve">AVERIA 5009086700 </t>
        </is>
      </c>
    </row>
    <row r="372">
      <c r="C372" s="10" t="inlineStr">
        <is>
          <t>Devolucion</t>
        </is>
      </c>
      <c r="D372" s="10" t="inlineStr">
        <is>
          <t>5009087810</t>
        </is>
      </c>
      <c r="E372" s="6" t="n">
        <v>1364506</v>
      </c>
      <c r="F372" s="10" t="inlineStr">
        <is>
          <t>AVERIA</t>
        </is>
      </c>
      <c r="G372" s="10" t="inlineStr">
        <is>
          <t>522</t>
        </is>
      </c>
      <c r="H372" s="6" t="n">
        <v>1364506</v>
      </c>
      <c r="I372" s="11" t="inlineStr">
        <is>
          <t xml:space="preserve">AVERIA 5009087810 </t>
        </is>
      </c>
    </row>
    <row r="373">
      <c r="C373" s="10" t="inlineStr">
        <is>
          <t>Devolucion</t>
        </is>
      </c>
      <c r="D373" s="10" t="inlineStr">
        <is>
          <t>5009088603</t>
        </is>
      </c>
      <c r="E373" s="6" t="n">
        <v>25384</v>
      </c>
      <c r="F373" s="10" t="inlineStr">
        <is>
          <t>AVERIA</t>
        </is>
      </c>
      <c r="G373" s="10" t="inlineStr">
        <is>
          <t>522</t>
        </is>
      </c>
      <c r="H373" s="6" t="n">
        <v>25384</v>
      </c>
      <c r="I373" s="11" t="inlineStr">
        <is>
          <t xml:space="preserve">AVERIA 5009088603 </t>
        </is>
      </c>
    </row>
    <row r="374">
      <c r="C374" s="10" t="inlineStr">
        <is>
          <t>Devolucion</t>
        </is>
      </c>
      <c r="D374" s="10" t="inlineStr">
        <is>
          <t>5009088424</t>
        </is>
      </c>
      <c r="E374" s="6" t="n">
        <v>142773</v>
      </c>
      <c r="F374" s="10" t="inlineStr">
        <is>
          <t>AVERIA</t>
        </is>
      </c>
      <c r="G374" s="10" t="inlineStr">
        <is>
          <t>522</t>
        </is>
      </c>
      <c r="H374" s="6" t="n">
        <v>142773</v>
      </c>
      <c r="I374" s="11" t="inlineStr">
        <is>
          <t xml:space="preserve">AVERIA 5009088424 </t>
        </is>
      </c>
    </row>
    <row r="375">
      <c r="C375" s="10" t="inlineStr">
        <is>
          <t>Devolucion</t>
        </is>
      </c>
      <c r="D375" s="10" t="inlineStr">
        <is>
          <t>5009084012</t>
        </is>
      </c>
      <c r="E375" s="6" t="n">
        <v>20132</v>
      </c>
      <c r="F375" s="10" t="inlineStr">
        <is>
          <t>AVERIA</t>
        </is>
      </c>
      <c r="G375" s="10" t="inlineStr">
        <is>
          <t>522</t>
        </is>
      </c>
      <c r="H375" s="6" t="n">
        <v>20132</v>
      </c>
      <c r="I375" s="11" t="inlineStr">
        <is>
          <t xml:space="preserve">AVERIA 5009084012 </t>
        </is>
      </c>
    </row>
    <row r="376">
      <c r="C376" s="10" t="inlineStr">
        <is>
          <t>Devolucion</t>
        </is>
      </c>
      <c r="D376" s="10" t="inlineStr">
        <is>
          <t>5009084013</t>
        </is>
      </c>
      <c r="E376" s="6" t="n">
        <v>97228</v>
      </c>
      <c r="F376" s="10" t="inlineStr">
        <is>
          <t>AVERIA</t>
        </is>
      </c>
      <c r="G376" s="10" t="inlineStr">
        <is>
          <t>522</t>
        </is>
      </c>
      <c r="H376" s="6" t="n">
        <v>97228</v>
      </c>
      <c r="I376" s="11" t="inlineStr">
        <is>
          <t xml:space="preserve">AVERIA 5009084013 </t>
        </is>
      </c>
    </row>
    <row r="377">
      <c r="C377" s="10" t="inlineStr">
        <is>
          <t>Devolucion</t>
        </is>
      </c>
      <c r="D377" s="10" t="inlineStr">
        <is>
          <t>5009071350</t>
        </is>
      </c>
      <c r="E377" s="6" t="n">
        <v>475008</v>
      </c>
      <c r="F377" s="10" t="inlineStr">
        <is>
          <t>AVERIA</t>
        </is>
      </c>
      <c r="G377" s="10" t="inlineStr">
        <is>
          <t>522</t>
        </is>
      </c>
      <c r="H377" s="6" t="n">
        <v>475008</v>
      </c>
      <c r="I377" s="11" t="inlineStr">
        <is>
          <t xml:space="preserve">AVERIA 5009071350 </t>
        </is>
      </c>
    </row>
    <row r="378">
      <c r="C378" s="10" t="inlineStr">
        <is>
          <t>Devolucion</t>
        </is>
      </c>
      <c r="D378" s="10" t="inlineStr">
        <is>
          <t>5009114474</t>
        </is>
      </c>
      <c r="E378" s="6" t="n">
        <v>5876</v>
      </c>
      <c r="F378" s="10" t="inlineStr">
        <is>
          <t>AVERIA</t>
        </is>
      </c>
      <c r="G378" s="10" t="inlineStr">
        <is>
          <t>522</t>
        </is>
      </c>
      <c r="H378" s="6" t="n">
        <v>5876</v>
      </c>
      <c r="I378" s="11" t="inlineStr">
        <is>
          <t xml:space="preserve">AVERIA 5009114474 </t>
        </is>
      </c>
    </row>
    <row r="379">
      <c r="C379" s="10" t="inlineStr"/>
      <c r="D379" s="10" t="inlineStr">
        <is>
          <t>nan</t>
        </is>
      </c>
      <c r="E379" s="6" t="n">
        <v>-3232337251</v>
      </c>
      <c r="F379" s="10" t="inlineStr"/>
      <c r="G379" s="10" t="inlineStr"/>
      <c r="H379" s="6" t="n">
        <v>-3232337251</v>
      </c>
      <c r="I379" s="11" t="inlineStr">
        <is>
          <t xml:space="preserve"> nan </t>
        </is>
      </c>
    </row>
    <row r="380">
      <c r="C380" s="10" t="inlineStr"/>
      <c r="D380" s="10" t="inlineStr">
        <is>
          <t>nan</t>
        </is>
      </c>
      <c r="E380" s="6" t="n">
        <v>-64646745.02</v>
      </c>
      <c r="F380" s="10" t="inlineStr"/>
      <c r="G380" s="10" t="inlineStr"/>
      <c r="H380" s="6" t="n">
        <v>-64646745.02</v>
      </c>
      <c r="I380" s="11" t="inlineStr">
        <is>
          <t xml:space="preserve"> nan 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6"/>
  <sheetViews>
    <sheetView workbookViewId="0">
      <selection activeCell="A1" sqref="A1"/>
    </sheetView>
  </sheetViews>
  <sheetFormatPr baseColWidth="8" defaultRowHeight="15"/>
  <cols>
    <col width="12.77734375" customWidth="1" min="1" max="1"/>
    <col width="8.77734375" customWidth="1" min="2" max="2"/>
    <col width="24.77734375" customWidth="1" min="3" max="3"/>
    <col width="35.21875" customWidth="1" min="4" max="4"/>
    <col width="18.77734375" customWidth="1" min="5" max="5"/>
    <col width="13.77734375" customWidth="1" min="6" max="6"/>
    <col width="17.77734375" customWidth="1" min="7" max="7"/>
    <col width="15.5546875" customWidth="1" min="8" max="8"/>
    <col width="12.77734375" customWidth="1" min="9" max="9"/>
    <col width="22.77734375" customWidth="1" min="10" max="10"/>
    <col width="17.77734375" customWidth="1" min="11" max="11"/>
    <col width="17.5546875" customWidth="1" min="12" max="12"/>
    <col width="46.44140625" customWidth="1" min="13" max="13"/>
    <col width="35.5546875" customWidth="1" min="14" max="14"/>
    <col width="16.88671875" customWidth="1" min="15" max="15"/>
    <col width="8.77734375" customWidth="1" min="16" max="16"/>
  </cols>
  <sheetData>
    <row r="1" ht="49.95" customHeight="1">
      <c r="A1" s="12" t="inlineStr">
        <is>
          <t>Facturas Pagadas
Proveedor: UNILEVER ANDINA COLOMBIA LTDA
Fecha  Reporte:  2025-09-18 12:50:42</t>
        </is>
      </c>
    </row>
    <row r="2" ht="15.6" customHeight="1">
      <c r="A2" s="13" t="inlineStr">
        <is>
          <t>No.</t>
        </is>
      </c>
      <c r="B2" s="13" t="inlineStr">
        <is>
          <t>Estado</t>
        </is>
      </c>
      <c r="C2" s="13" t="inlineStr">
        <is>
          <t>Acreedor</t>
        </is>
      </c>
      <c r="D2" s="13" t="inlineStr">
        <is>
          <t>Nombre Acreedor</t>
        </is>
      </c>
      <c r="E2" s="14" t="inlineStr">
        <is>
          <t>Referencia</t>
        </is>
      </c>
      <c r="F2" s="13" t="inlineStr">
        <is>
          <t>Fecha pago</t>
        </is>
      </c>
      <c r="G2" s="13" t="inlineStr">
        <is>
          <t>No. Documento</t>
        </is>
      </c>
      <c r="H2" s="14" t="inlineStr">
        <is>
          <t>Clase</t>
        </is>
      </c>
      <c r="I2" s="13" t="inlineStr">
        <is>
          <t>Fecha Doc</t>
        </is>
      </c>
      <c r="J2" s="13" t="inlineStr">
        <is>
          <t>Importe Descuento</t>
        </is>
      </c>
      <c r="K2" s="14" t="inlineStr">
        <is>
          <t>Importe en ML</t>
        </is>
      </c>
      <c r="L2" s="13" t="inlineStr">
        <is>
          <t>Div</t>
        </is>
      </c>
      <c r="M2" s="13" t="inlineStr">
        <is>
          <t>Texto</t>
        </is>
      </c>
      <c r="N2" s="15" t="inlineStr">
        <is>
          <t xml:space="preserve">Concepto interno </t>
        </is>
      </c>
      <c r="O2" s="15" t="inlineStr">
        <is>
          <t>Clasificacion 3</t>
        </is>
      </c>
    </row>
    <row r="3">
      <c r="A3" s="16" t="n">
        <v>135</v>
      </c>
      <c r="B3" s="16" t="inlineStr">
        <is>
          <t>Pagado</t>
        </is>
      </c>
      <c r="C3" s="16" t="n">
        <v>860002518</v>
      </c>
      <c r="D3" s="16" t="inlineStr">
        <is>
          <t>UNILEVER ANDINA COLOMBIA LTDA</t>
        </is>
      </c>
      <c r="E3" s="16" t="inlineStr">
        <is>
          <t>PMP1256445</t>
        </is>
      </c>
      <c r="F3" s="16" t="inlineStr">
        <is>
          <t>02/09/2025</t>
        </is>
      </c>
      <c r="G3" s="16" t="n">
        <v>5100267257</v>
      </c>
      <c r="H3" s="16" t="inlineStr">
        <is>
          <t>Reduc Factura Compra</t>
        </is>
      </c>
      <c r="I3" s="16" t="inlineStr">
        <is>
          <t>27/06/2025</t>
        </is>
      </c>
      <c r="J3" s="16" t="n">
        <v>0</v>
      </c>
      <c r="K3" s="17" t="n">
        <v>24873954</v>
      </c>
      <c r="L3" s="16" t="inlineStr">
        <is>
          <t>Bucaramanga ZF</t>
        </is>
      </c>
      <c r="M3" s="16" t="inlineStr">
        <is>
          <t>UNILEVER ANDINA COLOMBIA LTDA/CONCILIACION</t>
        </is>
      </c>
      <c r="N3" s="18">
        <f>+H3&amp;" "&amp;E3</f>
        <v/>
      </c>
      <c r="O3" s="18" t="inlineStr">
        <is>
          <t>Ventas</t>
        </is>
      </c>
    </row>
    <row r="4">
      <c r="A4" s="16" t="n">
        <v>136</v>
      </c>
      <c r="B4" s="16" t="inlineStr">
        <is>
          <t>Pagado</t>
        </is>
      </c>
      <c r="C4" s="16" t="n">
        <v>860002518</v>
      </c>
      <c r="D4" s="16" t="inlineStr">
        <is>
          <t>UNILEVER ANDINA COLOMBIA LTDA</t>
        </is>
      </c>
      <c r="E4" s="16" t="inlineStr">
        <is>
          <t>PMP1256445</t>
        </is>
      </c>
      <c r="F4" s="16" t="inlineStr">
        <is>
          <t>02/09/2025</t>
        </is>
      </c>
      <c r="G4" s="16" t="n">
        <v>5100267256</v>
      </c>
      <c r="H4" s="16" t="inlineStr">
        <is>
          <t>Factura Acrededor</t>
        </is>
      </c>
      <c r="I4" s="16" t="inlineStr">
        <is>
          <t>27/06/2025</t>
        </is>
      </c>
      <c r="J4" s="16" t="n">
        <v>0</v>
      </c>
      <c r="K4" s="17" t="n">
        <v>-62185329</v>
      </c>
      <c r="L4" s="16" t="inlineStr">
        <is>
          <t>Bucaramanga ZF</t>
        </is>
      </c>
      <c r="M4" s="16" t="inlineStr">
        <is>
          <t>UNILEVER ANDINA COLOMBIA LTDA/CONCILIACION</t>
        </is>
      </c>
      <c r="N4" s="18">
        <f>+H4&amp;" "&amp; E4</f>
        <v/>
      </c>
      <c r="O4" s="18" t="inlineStr">
        <is>
          <t>Cartera</t>
        </is>
      </c>
    </row>
    <row r="5">
      <c r="A5" s="16" t="n">
        <v>285</v>
      </c>
      <c r="B5" s="16" t="inlineStr">
        <is>
          <t>Pagado</t>
        </is>
      </c>
      <c r="C5" s="16" t="n">
        <v>860002518</v>
      </c>
      <c r="D5" s="16" t="inlineStr">
        <is>
          <t>UNILEVER ANDINA COLOMBIA LTDA</t>
        </is>
      </c>
      <c r="E5" s="16" t="inlineStr">
        <is>
          <t>PMP-1270678</t>
        </is>
      </c>
      <c r="F5" s="16" t="inlineStr">
        <is>
          <t>01/09/2025</t>
        </is>
      </c>
      <c r="G5" s="16" t="n">
        <v>5100309134</v>
      </c>
      <c r="H5" s="16" t="inlineStr">
        <is>
          <t>Factura Acrededor</t>
        </is>
      </c>
      <c r="I5" s="16" t="inlineStr">
        <is>
          <t>04/08/2025</t>
        </is>
      </c>
      <c r="J5" s="16" t="n">
        <v>0</v>
      </c>
      <c r="K5" s="17" t="n">
        <v>-13476882</v>
      </c>
      <c r="L5" s="16" t="inlineStr">
        <is>
          <t>Barranquilla</t>
        </is>
      </c>
      <c r="M5" s="16" t="inlineStr">
        <is>
          <t>UNILEVER ANDINA COLOMBIA LTDA</t>
        </is>
      </c>
      <c r="N5" s="18">
        <f>+H5&amp;" "&amp; E5</f>
        <v/>
      </c>
      <c r="O5" s="18" t="inlineStr">
        <is>
          <t>Cartera</t>
        </is>
      </c>
    </row>
    <row r="6">
      <c r="A6" s="16" t="n">
        <v>286</v>
      </c>
      <c r="B6" s="16" t="inlineStr">
        <is>
          <t>Pagado</t>
        </is>
      </c>
      <c r="C6" s="16" t="n">
        <v>860002518</v>
      </c>
      <c r="D6" s="16" t="inlineStr">
        <is>
          <t>UNILEVER ANDINA COLOMBIA LTDA</t>
        </is>
      </c>
      <c r="E6" s="16" t="inlineStr">
        <is>
          <t>PMP1271667</t>
        </is>
      </c>
      <c r="F6" s="16" t="inlineStr">
        <is>
          <t>01/09/2025</t>
        </is>
      </c>
      <c r="G6" s="16" t="n">
        <v>5100309142</v>
      </c>
      <c r="H6" s="16" t="inlineStr">
        <is>
          <t>Reduc Factura Compra</t>
        </is>
      </c>
      <c r="I6" s="16" t="inlineStr">
        <is>
          <t>07/08/2025</t>
        </is>
      </c>
      <c r="J6" s="16" t="n">
        <v>0</v>
      </c>
      <c r="K6" s="17" t="n">
        <v>384234</v>
      </c>
      <c r="L6" s="16" t="inlineStr">
        <is>
          <t>Bucaramanga ZF</t>
        </is>
      </c>
      <c r="M6" s="16" t="inlineStr">
        <is>
          <t>UNILEVER ANDINA COLOMBIA LTDA/CONCILIACION</t>
        </is>
      </c>
      <c r="N6" s="18">
        <f>+H6&amp;" "&amp;E6</f>
        <v/>
      </c>
      <c r="O6" s="18" t="inlineStr">
        <is>
          <t>Ventas</t>
        </is>
      </c>
    </row>
    <row r="7">
      <c r="A7" s="16" t="n">
        <v>287</v>
      </c>
      <c r="B7" s="16" t="inlineStr">
        <is>
          <t>Pagado</t>
        </is>
      </c>
      <c r="C7" s="16" t="n">
        <v>860002518</v>
      </c>
      <c r="D7" s="16" t="inlineStr">
        <is>
          <t>UNILEVER ANDINA COLOMBIA LTDA</t>
        </is>
      </c>
      <c r="E7" s="16" t="inlineStr">
        <is>
          <t>PMP-1270678</t>
        </is>
      </c>
      <c r="F7" s="16" t="inlineStr">
        <is>
          <t>01/09/2025</t>
        </is>
      </c>
      <c r="G7" s="16" t="n">
        <v>5100309135</v>
      </c>
      <c r="H7" s="16" t="inlineStr">
        <is>
          <t>Reduc Factura Compra</t>
        </is>
      </c>
      <c r="I7" s="16" t="inlineStr">
        <is>
          <t>04/08/2025</t>
        </is>
      </c>
      <c r="J7" s="16" t="n">
        <v>0</v>
      </c>
      <c r="K7" s="17" t="n">
        <v>192304</v>
      </c>
      <c r="L7" s="16" t="inlineStr">
        <is>
          <t>Barranquilla</t>
        </is>
      </c>
      <c r="M7" s="16" t="inlineStr">
        <is>
          <t>UNILEVER ANDINA COLOMBIA LTDA</t>
        </is>
      </c>
      <c r="N7" s="18">
        <f>+H7&amp;" "&amp;E7</f>
        <v/>
      </c>
      <c r="O7" s="18" t="inlineStr">
        <is>
          <t>Ventas</t>
        </is>
      </c>
    </row>
    <row r="8">
      <c r="A8" s="16" t="n">
        <v>288</v>
      </c>
      <c r="B8" s="16" t="inlineStr">
        <is>
          <t>Pagado</t>
        </is>
      </c>
      <c r="C8" s="16" t="n">
        <v>860002518</v>
      </c>
      <c r="D8" s="16" t="inlineStr">
        <is>
          <t>UNILEVER ANDINA COLOMBIA LTDA</t>
        </is>
      </c>
      <c r="E8" s="16" t="inlineStr">
        <is>
          <t>PMP1271667</t>
        </is>
      </c>
      <c r="F8" s="16" t="inlineStr">
        <is>
          <t>01/09/2025</t>
        </is>
      </c>
      <c r="G8" s="16" t="n">
        <v>5100309141</v>
      </c>
      <c r="H8" s="16" t="inlineStr">
        <is>
          <t>Factura Acrededor</t>
        </is>
      </c>
      <c r="I8" s="16" t="inlineStr">
        <is>
          <t>07/08/2025</t>
        </is>
      </c>
      <c r="J8" s="16" t="n">
        <v>0</v>
      </c>
      <c r="K8" s="17" t="n">
        <v>-2153357</v>
      </c>
      <c r="L8" s="16" t="inlineStr">
        <is>
          <t>Bucaramanga ZF</t>
        </is>
      </c>
      <c r="M8" s="16" t="inlineStr">
        <is>
          <t>UNILEVER ANDINA COLOMBIA LTDA/CONCILIACION</t>
        </is>
      </c>
      <c r="N8" s="18">
        <f>+H8&amp;" "&amp; E8</f>
        <v/>
      </c>
      <c r="O8" s="18" t="inlineStr">
        <is>
          <t>Cartera</t>
        </is>
      </c>
    </row>
    <row r="9">
      <c r="A9" s="16" t="n">
        <v>295</v>
      </c>
      <c r="B9" s="16" t="inlineStr">
        <is>
          <t>Pagado</t>
        </is>
      </c>
      <c r="C9" s="16" t="n">
        <v>860002518</v>
      </c>
      <c r="D9" s="16" t="inlineStr">
        <is>
          <t>UNILEVER ANDINA COLOMBIA LTDA</t>
        </is>
      </c>
      <c r="E9" s="16" t="inlineStr">
        <is>
          <t>PMP1273593</t>
        </is>
      </c>
      <c r="F9" s="16" t="inlineStr">
        <is>
          <t>04/09/2025</t>
        </is>
      </c>
      <c r="G9" s="16" t="n">
        <v>5100317246</v>
      </c>
      <c r="H9" s="16" t="inlineStr">
        <is>
          <t>Factura Acrededor</t>
        </is>
      </c>
      <c r="I9" s="16" t="inlineStr">
        <is>
          <t>13/08/2025</t>
        </is>
      </c>
      <c r="J9" s="16" t="n">
        <v>0</v>
      </c>
      <c r="K9" s="17" t="n">
        <v>-19023510</v>
      </c>
      <c r="L9" s="16" t="inlineStr">
        <is>
          <t>Palmira</t>
        </is>
      </c>
      <c r="M9" s="16" t="inlineStr">
        <is>
          <t>UNILEVER ANDINA COLOMBIA LTDA</t>
        </is>
      </c>
      <c r="N9" s="18">
        <f>+H9&amp;" "&amp; E9</f>
        <v/>
      </c>
      <c r="O9" s="18" t="inlineStr">
        <is>
          <t>Cartera</t>
        </is>
      </c>
    </row>
    <row r="10">
      <c r="A10" s="16" t="n">
        <v>297</v>
      </c>
      <c r="B10" s="16" t="inlineStr">
        <is>
          <t>Pagado</t>
        </is>
      </c>
      <c r="C10" s="16" t="n">
        <v>860002518</v>
      </c>
      <c r="D10" s="16" t="inlineStr">
        <is>
          <t>UNILEVER ANDINA COLOMBIA LTDA</t>
        </is>
      </c>
      <c r="E10" s="16" t="inlineStr">
        <is>
          <t>PMP-1273117</t>
        </is>
      </c>
      <c r="F10" s="16" t="inlineStr">
        <is>
          <t>03/09/2025</t>
        </is>
      </c>
      <c r="G10" s="16" t="n">
        <v>5100315867</v>
      </c>
      <c r="H10" s="16" t="inlineStr">
        <is>
          <t>Factura Acrededor</t>
        </is>
      </c>
      <c r="I10" s="16" t="inlineStr">
        <is>
          <t>12/08/2025</t>
        </is>
      </c>
      <c r="J10" s="16" t="n">
        <v>0</v>
      </c>
      <c r="K10" s="17" t="n">
        <v>-17313168</v>
      </c>
      <c r="M10" s="16" t="inlineStr">
        <is>
          <t>UNILEVER ANDINA COLOMBIA LTDA</t>
        </is>
      </c>
      <c r="N10" s="18">
        <f>+H10&amp;" "&amp; E10</f>
        <v/>
      </c>
      <c r="O10" s="18" t="inlineStr">
        <is>
          <t>Cartera</t>
        </is>
      </c>
    </row>
    <row r="11">
      <c r="A11" s="16" t="n">
        <v>298</v>
      </c>
      <c r="B11" s="16" t="inlineStr">
        <is>
          <t>Pagado</t>
        </is>
      </c>
      <c r="C11" s="16" t="n">
        <v>860002518</v>
      </c>
      <c r="D11" s="16" t="inlineStr">
        <is>
          <t>UNILEVER ANDINA COLOMBIA LTDA</t>
        </is>
      </c>
      <c r="E11" s="16" t="inlineStr">
        <is>
          <t>PMP1273880</t>
        </is>
      </c>
      <c r="F11" s="16" t="inlineStr">
        <is>
          <t>03/09/2025</t>
        </is>
      </c>
      <c r="G11" s="16" t="n">
        <v>5100316866</v>
      </c>
      <c r="H11" s="16" t="inlineStr">
        <is>
          <t>Factura Acrededor</t>
        </is>
      </c>
      <c r="I11" s="16" t="inlineStr">
        <is>
          <t>13/08/2025</t>
        </is>
      </c>
      <c r="J11" s="16" t="n">
        <v>0</v>
      </c>
      <c r="K11" s="17" t="n">
        <v>-127451611</v>
      </c>
      <c r="L11" s="16" t="inlineStr">
        <is>
          <t>Cota</t>
        </is>
      </c>
      <c r="M11" s="16" t="inlineStr">
        <is>
          <t>UNILEVER ANDINA COLOMBIA LTDA // CONCILIACIÓN</t>
        </is>
      </c>
      <c r="N11" s="18">
        <f>+H11&amp;" "&amp; E11</f>
        <v/>
      </c>
      <c r="O11" s="18" t="inlineStr">
        <is>
          <t>Cartera</t>
        </is>
      </c>
    </row>
    <row r="12">
      <c r="A12" s="16" t="n">
        <v>299</v>
      </c>
      <c r="B12" s="16" t="inlineStr">
        <is>
          <t>Pagado</t>
        </is>
      </c>
      <c r="C12" s="16" t="n">
        <v>860002518</v>
      </c>
      <c r="D12" s="16" t="inlineStr">
        <is>
          <t>UNILEVER ANDINA COLOMBIA LTDA</t>
        </is>
      </c>
      <c r="E12" s="16" t="inlineStr">
        <is>
          <t>PMP1273880</t>
        </is>
      </c>
      <c r="F12" s="16" t="inlineStr">
        <is>
          <t>03/09/2025</t>
        </is>
      </c>
      <c r="G12" s="16" t="n">
        <v>5100316867</v>
      </c>
      <c r="H12" s="16" t="inlineStr">
        <is>
          <t>Reduc Factura Compra</t>
        </is>
      </c>
      <c r="I12" s="16" t="inlineStr">
        <is>
          <t>13/08/2025</t>
        </is>
      </c>
      <c r="J12" s="16" t="n">
        <v>0</v>
      </c>
      <c r="K12" s="17" t="n">
        <v>2873883</v>
      </c>
      <c r="L12" s="16" t="inlineStr">
        <is>
          <t>Cota</t>
        </is>
      </c>
      <c r="M12" s="16" t="inlineStr">
        <is>
          <t>UNILEVER ANDINA COLOMBIA LTDA // CONCILIACIÓN</t>
        </is>
      </c>
      <c r="N12" s="18">
        <f>+H12&amp;" "&amp;E12</f>
        <v/>
      </c>
      <c r="O12" s="18" t="inlineStr">
        <is>
          <t>Ventas</t>
        </is>
      </c>
    </row>
    <row r="13">
      <c r="A13" s="16" t="n">
        <v>301</v>
      </c>
      <c r="B13" s="16" t="inlineStr">
        <is>
          <t>Pagado</t>
        </is>
      </c>
      <c r="C13" s="16" t="n">
        <v>860002518</v>
      </c>
      <c r="D13" s="16" t="inlineStr">
        <is>
          <t>UNILEVER ANDINA COLOMBIA LTDA</t>
        </is>
      </c>
      <c r="E13" s="16" t="inlineStr">
        <is>
          <t>PMP1273862</t>
        </is>
      </c>
      <c r="F13" s="16" t="inlineStr">
        <is>
          <t>05/09/2025</t>
        </is>
      </c>
      <c r="G13" s="16" t="n">
        <v>5100318619</v>
      </c>
      <c r="H13" s="16" t="inlineStr">
        <is>
          <t>Factura Acrededor</t>
        </is>
      </c>
      <c r="I13" s="16" t="inlineStr">
        <is>
          <t>13/08/2025</t>
        </is>
      </c>
      <c r="J13" s="16" t="n">
        <v>0</v>
      </c>
      <c r="K13" s="17" t="n">
        <v>-8425405</v>
      </c>
      <c r="L13" s="16" t="inlineStr">
        <is>
          <t>Cerritos</t>
        </is>
      </c>
      <c r="N13" s="18">
        <f>+H13&amp;" "&amp; E13</f>
        <v/>
      </c>
      <c r="O13" s="18" t="inlineStr">
        <is>
          <t>Cartera</t>
        </is>
      </c>
    </row>
    <row r="14">
      <c r="A14" s="16" t="n">
        <v>303</v>
      </c>
      <c r="B14" s="16" t="inlineStr">
        <is>
          <t>Pagado</t>
        </is>
      </c>
      <c r="C14" s="16" t="n">
        <v>860002518</v>
      </c>
      <c r="D14" s="16" t="inlineStr">
        <is>
          <t>UNILEVER ANDINA COLOMBIA LTDA</t>
        </is>
      </c>
      <c r="E14" s="16" t="inlineStr">
        <is>
          <t>PMP1273389</t>
        </is>
      </c>
      <c r="F14" s="16" t="inlineStr">
        <is>
          <t>08/09/2025</t>
        </is>
      </c>
      <c r="G14" s="16" t="n">
        <v>5100321678</v>
      </c>
      <c r="H14" s="16" t="inlineStr">
        <is>
          <t>Factura Acrededor</t>
        </is>
      </c>
      <c r="I14" s="16" t="inlineStr">
        <is>
          <t>11/08/2025</t>
        </is>
      </c>
      <c r="J14" s="16" t="n">
        <v>0</v>
      </c>
      <c r="K14" s="17" t="n">
        <v>-39255388</v>
      </c>
      <c r="L14" s="16" t="inlineStr">
        <is>
          <t>Barranquilla</t>
        </is>
      </c>
      <c r="M14" s="16" t="inlineStr">
        <is>
          <t>UNILEVER ANDINA COLOMBIA LTDA</t>
        </is>
      </c>
      <c r="N14" s="18">
        <f>+H14&amp;" "&amp; E14</f>
        <v/>
      </c>
      <c r="O14" s="18" t="inlineStr">
        <is>
          <t>Cartera</t>
        </is>
      </c>
    </row>
    <row r="15">
      <c r="A15" s="16" t="n">
        <v>304</v>
      </c>
      <c r="B15" s="16" t="inlineStr">
        <is>
          <t>Pagado</t>
        </is>
      </c>
      <c r="C15" s="16" t="n">
        <v>860002518</v>
      </c>
      <c r="D15" s="16" t="inlineStr">
        <is>
          <t>UNILEVER ANDINA COLOMBIA LTDA</t>
        </is>
      </c>
      <c r="E15" s="16" t="inlineStr">
        <is>
          <t>PMP1274139</t>
        </is>
      </c>
      <c r="F15" s="16" t="inlineStr">
        <is>
          <t>08/09/2025</t>
        </is>
      </c>
      <c r="G15" s="16" t="n">
        <v>5100321195</v>
      </c>
      <c r="H15" s="16" t="inlineStr">
        <is>
          <t>Factura Acrededor</t>
        </is>
      </c>
      <c r="I15" s="16" t="inlineStr">
        <is>
          <t>11/08/2025</t>
        </is>
      </c>
      <c r="J15" s="16" t="n">
        <v>0</v>
      </c>
      <c r="K15" s="17" t="n">
        <v>-10136444</v>
      </c>
      <c r="L15" s="16" t="inlineStr">
        <is>
          <t>Bucaramanga ZF</t>
        </is>
      </c>
      <c r="M15" s="16" t="inlineStr">
        <is>
          <t>UNILEVER ANDINA COLOMBIA LTDA</t>
        </is>
      </c>
      <c r="N15" s="18">
        <f>+H15&amp;" "&amp; E15</f>
        <v/>
      </c>
      <c r="O15" s="18" t="inlineStr">
        <is>
          <t>Cartera</t>
        </is>
      </c>
    </row>
    <row r="16">
      <c r="A16" s="16" t="n">
        <v>310</v>
      </c>
      <c r="B16" s="16" t="inlineStr">
        <is>
          <t>Pagado</t>
        </is>
      </c>
      <c r="C16" s="16" t="n">
        <v>860002518</v>
      </c>
      <c r="D16" s="16" t="inlineStr">
        <is>
          <t>UNILEVER ANDINA COLOMBIA LTDA</t>
        </is>
      </c>
      <c r="E16" s="16" t="inlineStr">
        <is>
          <t>PMP1277207</t>
        </is>
      </c>
      <c r="F16" s="16" t="inlineStr">
        <is>
          <t>11/09/2025</t>
        </is>
      </c>
      <c r="G16" s="16" t="n">
        <v>5100330734</v>
      </c>
      <c r="H16" s="16" t="inlineStr">
        <is>
          <t>Factura Acrededor</t>
        </is>
      </c>
      <c r="I16" s="16" t="inlineStr">
        <is>
          <t>22/08/2025</t>
        </is>
      </c>
      <c r="J16" s="16" t="n">
        <v>0</v>
      </c>
      <c r="K16" s="17" t="n">
        <v>-8474845</v>
      </c>
      <c r="L16" s="16" t="inlineStr">
        <is>
          <t>Palmira</t>
        </is>
      </c>
      <c r="M16" s="16" t="inlineStr">
        <is>
          <t>UNILEVER ANDINA COLOMBIA LTDA</t>
        </is>
      </c>
      <c r="N16" s="18">
        <f>+H16&amp;" "&amp; E16</f>
        <v/>
      </c>
      <c r="O16" s="18" t="inlineStr">
        <is>
          <t>Cartera</t>
        </is>
      </c>
    </row>
    <row r="17">
      <c r="A17" s="16" t="n">
        <v>313</v>
      </c>
      <c r="B17" s="16" t="inlineStr">
        <is>
          <t>Pagado</t>
        </is>
      </c>
      <c r="C17" s="16" t="n">
        <v>860002518</v>
      </c>
      <c r="D17" s="16" t="inlineStr">
        <is>
          <t>UNILEVER ANDINA COLOMBIA LTDA</t>
        </is>
      </c>
      <c r="E17" s="16" t="inlineStr">
        <is>
          <t>PMP1276670</t>
        </is>
      </c>
      <c r="F17" s="16" t="inlineStr">
        <is>
          <t>12/09/2025</t>
        </is>
      </c>
      <c r="G17" s="16" t="n">
        <v>5100335942</v>
      </c>
      <c r="H17" s="16" t="inlineStr">
        <is>
          <t>Reduc Factura Compra</t>
        </is>
      </c>
      <c r="I17" s="16" t="inlineStr">
        <is>
          <t>20/08/2025</t>
        </is>
      </c>
      <c r="J17" s="16" t="n">
        <v>0</v>
      </c>
      <c r="K17" s="17" t="n">
        <v>4956</v>
      </c>
      <c r="L17" s="16" t="inlineStr">
        <is>
          <t>Cerritos</t>
        </is>
      </c>
      <c r="N17" s="18">
        <f>+H17&amp;" "&amp;E17</f>
        <v/>
      </c>
      <c r="O17" s="18" t="inlineStr">
        <is>
          <t>Ventas</t>
        </is>
      </c>
    </row>
    <row r="18">
      <c r="A18" s="16" t="n">
        <v>314</v>
      </c>
      <c r="B18" s="16" t="inlineStr">
        <is>
          <t>Pagado</t>
        </is>
      </c>
      <c r="C18" s="16" t="n">
        <v>860002518</v>
      </c>
      <c r="D18" s="16" t="inlineStr">
        <is>
          <t>UNILEVER ANDINA COLOMBIA LTDA</t>
        </is>
      </c>
      <c r="E18" s="16" t="inlineStr">
        <is>
          <t>PMP1276670</t>
        </is>
      </c>
      <c r="F18" s="16" t="inlineStr">
        <is>
          <t>12/09/2025</t>
        </is>
      </c>
      <c r="G18" s="16" t="n">
        <v>5100335941</v>
      </c>
      <c r="H18" s="16" t="inlineStr">
        <is>
          <t>Factura Acrededor</t>
        </is>
      </c>
      <c r="I18" s="16" t="inlineStr">
        <is>
          <t>20/08/2025</t>
        </is>
      </c>
      <c r="J18" s="16" t="n">
        <v>0</v>
      </c>
      <c r="K18" s="17" t="n">
        <v>-8387269</v>
      </c>
      <c r="L18" s="16" t="inlineStr">
        <is>
          <t>Cerritos</t>
        </is>
      </c>
      <c r="N18" s="18">
        <f>+H18&amp;" "&amp; E18</f>
        <v/>
      </c>
      <c r="O18" s="18" t="inlineStr">
        <is>
          <t>Cartera</t>
        </is>
      </c>
    </row>
    <row r="19">
      <c r="A19" s="16" t="n">
        <v>317</v>
      </c>
      <c r="B19" s="16" t="inlineStr">
        <is>
          <t>Pagado</t>
        </is>
      </c>
      <c r="C19" s="16" t="n">
        <v>860002518</v>
      </c>
      <c r="D19" s="16" t="inlineStr">
        <is>
          <t>UNILEVER ANDINA COLOMBIA LTDA</t>
        </is>
      </c>
      <c r="F19" s="16" t="inlineStr">
        <is>
          <t>01/09/2025</t>
        </is>
      </c>
      <c r="G19" s="16" t="n">
        <v>1700026246</v>
      </c>
      <c r="H19" s="16" t="inlineStr">
        <is>
          <t>Nota</t>
        </is>
      </c>
      <c r="I19" s="16" t="inlineStr">
        <is>
          <t>26/08/2025</t>
        </is>
      </c>
      <c r="J19" s="16" t="n">
        <v>0</v>
      </c>
      <c r="K19" s="17" t="n">
        <v>5639575</v>
      </c>
      <c r="L19" s="16" t="inlineStr">
        <is>
          <t>Cota</t>
        </is>
      </c>
      <c r="M19" s="16" t="inlineStr">
        <is>
          <t>FCR MEGSEM PAIS 04-09 AGO 2025 CPS PARCIAL I</t>
        </is>
      </c>
      <c r="N19" s="18">
        <f>+M19</f>
        <v/>
      </c>
      <c r="O19" s="18" t="inlineStr">
        <is>
          <t>Ventas</t>
        </is>
      </c>
    </row>
    <row r="20">
      <c r="A20" s="16" t="n">
        <v>318</v>
      </c>
      <c r="B20" s="16" t="inlineStr">
        <is>
          <t>Pagado</t>
        </is>
      </c>
      <c r="C20" s="16" t="n">
        <v>860002518</v>
      </c>
      <c r="D20" s="16" t="inlineStr">
        <is>
          <t>UNILEVER ANDINA COLOMBIA LTDA</t>
        </is>
      </c>
      <c r="E20" s="16" t="inlineStr">
        <is>
          <t>PMP1276992</t>
        </is>
      </c>
      <c r="F20" s="16" t="inlineStr">
        <is>
          <t>12/09/2025</t>
        </is>
      </c>
      <c r="G20" s="16" t="n">
        <v>5100337112</v>
      </c>
      <c r="H20" s="16" t="inlineStr">
        <is>
          <t>Reduc Factura Compra</t>
        </is>
      </c>
      <c r="I20" s="16" t="inlineStr">
        <is>
          <t>21/08/2025</t>
        </is>
      </c>
      <c r="J20" s="16" t="n">
        <v>0</v>
      </c>
      <c r="K20" s="17" t="n">
        <v>4956</v>
      </c>
      <c r="M20" s="16" t="inlineStr">
        <is>
          <t>UNILEVER ANDINA COLOMBIA LTDA/conciliaicon</t>
        </is>
      </c>
      <c r="N20" s="18">
        <f>+H20&amp;" "&amp;E20</f>
        <v/>
      </c>
      <c r="O20" s="18" t="inlineStr">
        <is>
          <t>Ventas</t>
        </is>
      </c>
    </row>
    <row r="21">
      <c r="A21" s="16" t="n">
        <v>319</v>
      </c>
      <c r="B21" s="16" t="inlineStr">
        <is>
          <t>Pagado</t>
        </is>
      </c>
      <c r="C21" s="16" t="n">
        <v>860002518</v>
      </c>
      <c r="D21" s="16" t="inlineStr">
        <is>
          <t>UNILEVER ANDINA COLOMBIA LTDA</t>
        </is>
      </c>
      <c r="E21" s="16" t="inlineStr">
        <is>
          <t>PMP1277139</t>
        </is>
      </c>
      <c r="F21" s="16" t="inlineStr">
        <is>
          <t>12/09/2025</t>
        </is>
      </c>
      <c r="G21" s="16" t="n">
        <v>5100337864</v>
      </c>
      <c r="H21" s="16" t="inlineStr">
        <is>
          <t>Factura Acrededor</t>
        </is>
      </c>
      <c r="I21" s="16" t="inlineStr">
        <is>
          <t>21/08/2025</t>
        </is>
      </c>
      <c r="J21" s="16" t="n">
        <v>0</v>
      </c>
      <c r="K21" s="17" t="n">
        <v>-20008459</v>
      </c>
      <c r="L21" s="16" t="inlineStr">
        <is>
          <t>Cota</t>
        </is>
      </c>
      <c r="M21" s="16" t="inlineStr">
        <is>
          <t>UNILEVER ANDINA COLOMBIA LTDA</t>
        </is>
      </c>
      <c r="N21" s="18">
        <f>+H21&amp;" "&amp; E21</f>
        <v/>
      </c>
      <c r="O21" s="18" t="inlineStr">
        <is>
          <t>Cartera</t>
        </is>
      </c>
    </row>
    <row r="22">
      <c r="A22" s="16" t="n">
        <v>320</v>
      </c>
      <c r="B22" s="16" t="inlineStr">
        <is>
          <t>Pagado</t>
        </is>
      </c>
      <c r="C22" s="16" t="n">
        <v>860002518</v>
      </c>
      <c r="D22" s="16" t="inlineStr">
        <is>
          <t>UNILEVER ANDINA COLOMBIA LTDA</t>
        </is>
      </c>
      <c r="E22" s="16" t="inlineStr">
        <is>
          <t>PMP1276992</t>
        </is>
      </c>
      <c r="F22" s="16" t="inlineStr">
        <is>
          <t>12/09/2025</t>
        </is>
      </c>
      <c r="G22" s="16" t="n">
        <v>5100337111</v>
      </c>
      <c r="H22" s="16" t="inlineStr">
        <is>
          <t>Factura Acrededor</t>
        </is>
      </c>
      <c r="I22" s="16" t="inlineStr">
        <is>
          <t>21/08/2025</t>
        </is>
      </c>
      <c r="J22" s="16" t="n">
        <v>0</v>
      </c>
      <c r="K22" s="17" t="n">
        <v>-19850219</v>
      </c>
      <c r="M22" s="16" t="inlineStr">
        <is>
          <t>UNILEVER ANDINA COLOMBIA LTDA/conciliaicon</t>
        </is>
      </c>
      <c r="N22" s="18">
        <f>+H22&amp;" "&amp; E22</f>
        <v/>
      </c>
      <c r="O22" s="18" t="inlineStr">
        <is>
          <t>Cartera</t>
        </is>
      </c>
    </row>
    <row r="23">
      <c r="A23" s="16" t="n">
        <v>328</v>
      </c>
      <c r="B23" s="16" t="inlineStr">
        <is>
          <t>Pagado</t>
        </is>
      </c>
      <c r="C23" s="16" t="n">
        <v>860002518</v>
      </c>
      <c r="D23" s="16" t="inlineStr">
        <is>
          <t>UNILEVER ANDINA COLOMBIA LTDA</t>
        </is>
      </c>
      <c r="E23" s="16" t="inlineStr">
        <is>
          <t>PMP-1276958</t>
        </is>
      </c>
      <c r="F23" s="16" t="inlineStr">
        <is>
          <t>16/09/2025</t>
        </is>
      </c>
      <c r="G23" s="16" t="n">
        <v>5100339682</v>
      </c>
      <c r="H23" s="16" t="inlineStr">
        <is>
          <t>Reduc Factura Compra</t>
        </is>
      </c>
      <c r="I23" s="16" t="inlineStr">
        <is>
          <t>21/08/2025</t>
        </is>
      </c>
      <c r="J23" s="16" t="n">
        <v>0</v>
      </c>
      <c r="K23" s="17" t="n">
        <v>115147</v>
      </c>
      <c r="L23" s="16" t="inlineStr">
        <is>
          <t>Bucaramanga ZF</t>
        </is>
      </c>
      <c r="M23" s="16" t="inlineStr">
        <is>
          <t>UNILEVER ANDINA COLOMBIA LTDA/CONCILIACION</t>
        </is>
      </c>
      <c r="N23" s="18">
        <f>+H23&amp;" "&amp;E23</f>
        <v/>
      </c>
      <c r="O23" s="18" t="inlineStr">
        <is>
          <t>Ventas</t>
        </is>
      </c>
    </row>
    <row r="24">
      <c r="A24" s="16" t="n">
        <v>329</v>
      </c>
      <c r="B24" s="16" t="inlineStr">
        <is>
          <t>Pagado</t>
        </is>
      </c>
      <c r="C24" s="16" t="n">
        <v>860002518</v>
      </c>
      <c r="D24" s="16" t="inlineStr">
        <is>
          <t>UNILEVER ANDINA COLOMBIA LTDA</t>
        </is>
      </c>
      <c r="E24" s="16" t="inlineStr">
        <is>
          <t>PMP-1276958</t>
        </is>
      </c>
      <c r="F24" s="16" t="inlineStr">
        <is>
          <t>16/09/2025</t>
        </is>
      </c>
      <c r="G24" s="16" t="n">
        <v>5100339681</v>
      </c>
      <c r="H24" s="16" t="inlineStr">
        <is>
          <t>Factura Acrededor</t>
        </is>
      </c>
      <c r="I24" s="16" t="inlineStr">
        <is>
          <t>21/08/2025</t>
        </is>
      </c>
      <c r="J24" s="16" t="n">
        <v>0</v>
      </c>
      <c r="K24" s="17" t="n">
        <v>-6282364</v>
      </c>
      <c r="L24" s="16" t="inlineStr">
        <is>
          <t>Bucaramanga ZF</t>
        </is>
      </c>
      <c r="M24" s="16" t="inlineStr">
        <is>
          <t>UNILEVER ANDINA COLOMBIA LTDA/CONCILIACION</t>
        </is>
      </c>
      <c r="N24" s="18">
        <f>+H24&amp;" "&amp; E24</f>
        <v/>
      </c>
      <c r="O24" s="18" t="inlineStr">
        <is>
          <t>Cartera</t>
        </is>
      </c>
    </row>
    <row r="25">
      <c r="A25" s="16" t="n">
        <v>332</v>
      </c>
      <c r="B25" s="16" t="inlineStr">
        <is>
          <t>Pagado</t>
        </is>
      </c>
      <c r="C25" s="16" t="n">
        <v>860002518</v>
      </c>
      <c r="D25" s="16" t="inlineStr">
        <is>
          <t>UNILEVER ANDINA COLOMBIA LTDA</t>
        </is>
      </c>
      <c r="E25" s="16" t="inlineStr">
        <is>
          <t>PMP1277187</t>
        </is>
      </c>
      <c r="F25" s="16" t="inlineStr">
        <is>
          <t>17/09/2025</t>
        </is>
      </c>
      <c r="G25" s="16" t="n">
        <v>5100342117</v>
      </c>
      <c r="H25" s="16" t="inlineStr">
        <is>
          <t>Factura Acrededor</t>
        </is>
      </c>
      <c r="I25" s="16" t="inlineStr">
        <is>
          <t>22/08/2025</t>
        </is>
      </c>
      <c r="J25" s="16" t="n">
        <v>0</v>
      </c>
      <c r="K25" s="17" t="n">
        <v>-1761143</v>
      </c>
      <c r="L25" s="16" t="inlineStr">
        <is>
          <t>Barranquilla</t>
        </is>
      </c>
      <c r="M25" s="16" t="inlineStr">
        <is>
          <t>UNILEVER ANDINA COLOMBIA LTDA</t>
        </is>
      </c>
      <c r="N25" s="18">
        <f>+H25&amp;" "&amp; E25</f>
        <v/>
      </c>
      <c r="O25" s="18" t="inlineStr">
        <is>
          <t>Cartera</t>
        </is>
      </c>
    </row>
    <row r="26">
      <c r="A26" s="16" t="n">
        <v>333</v>
      </c>
      <c r="B26" s="16" t="inlineStr">
        <is>
          <t>Pagado</t>
        </is>
      </c>
      <c r="C26" s="16" t="n">
        <v>860002518</v>
      </c>
      <c r="D26" s="16" t="inlineStr">
        <is>
          <t>UNILEVER ANDINA COLOMBIA LTDA</t>
        </is>
      </c>
      <c r="E26" s="19" t="n">
        <v>5009053363</v>
      </c>
      <c r="F26" s="16" t="inlineStr">
        <is>
          <t>03/09/2025</t>
        </is>
      </c>
      <c r="G26" s="16" t="n">
        <v>5100342399</v>
      </c>
      <c r="H26" s="19" t="inlineStr">
        <is>
          <t>Devolucion</t>
        </is>
      </c>
      <c r="I26" s="16" t="inlineStr">
        <is>
          <t>29/08/2025</t>
        </is>
      </c>
      <c r="J26" s="16" t="n">
        <v>0</v>
      </c>
      <c r="K26" s="17" t="n">
        <v>218884</v>
      </c>
      <c r="L26" s="16" t="inlineStr">
        <is>
          <t>Palmira</t>
        </is>
      </c>
      <c r="N26" s="18">
        <f>_xlfn.CONCAT(H26 &amp;" "&amp; E26)</f>
        <v/>
      </c>
      <c r="O26" s="18" t="inlineStr">
        <is>
          <t>AVERIAS</t>
        </is>
      </c>
    </row>
    <row r="27">
      <c r="A27" s="16" t="n">
        <v>334</v>
      </c>
      <c r="B27" s="16" t="inlineStr">
        <is>
          <t>Pagado</t>
        </is>
      </c>
      <c r="C27" s="16" t="n">
        <v>860002518</v>
      </c>
      <c r="D27" s="16" t="inlineStr">
        <is>
          <t>UNILEVER ANDINA COLOMBIA LTDA</t>
        </is>
      </c>
      <c r="E27" s="16" t="inlineStr">
        <is>
          <t>PMP1279354</t>
        </is>
      </c>
      <c r="F27" s="16" t="inlineStr">
        <is>
          <t>17/09/2025</t>
        </is>
      </c>
      <c r="G27" s="16" t="n">
        <v>5100342547</v>
      </c>
      <c r="H27" s="16" t="inlineStr">
        <is>
          <t>Factura Acrededor</t>
        </is>
      </c>
      <c r="I27" s="16" t="inlineStr">
        <is>
          <t>26/08/2025</t>
        </is>
      </c>
      <c r="J27" s="16" t="n">
        <v>0</v>
      </c>
      <c r="K27" s="17" t="n">
        <v>-81797675</v>
      </c>
      <c r="M27" s="16" t="inlineStr">
        <is>
          <t>UNILEVER ANDINA COLOMBIA LTDA/CONCILIACION</t>
        </is>
      </c>
      <c r="N27" s="18">
        <f>+H27&amp;" "&amp; E27</f>
        <v/>
      </c>
      <c r="O27" s="18" t="inlineStr">
        <is>
          <t>Cartera</t>
        </is>
      </c>
    </row>
    <row r="28">
      <c r="A28" s="16" t="n">
        <v>335</v>
      </c>
      <c r="B28" s="16" t="inlineStr">
        <is>
          <t>Pagado</t>
        </is>
      </c>
      <c r="C28" s="16" t="n">
        <v>860002518</v>
      </c>
      <c r="D28" s="16" t="inlineStr">
        <is>
          <t>UNILEVER ANDINA COLOMBIA LTDA</t>
        </is>
      </c>
      <c r="E28" s="16" t="inlineStr">
        <is>
          <t>PMP1279354</t>
        </is>
      </c>
      <c r="F28" s="16" t="inlineStr">
        <is>
          <t>17/09/2025</t>
        </is>
      </c>
      <c r="G28" s="16" t="n">
        <v>5100342548</v>
      </c>
      <c r="H28" s="16" t="inlineStr">
        <is>
          <t>Reduc Factura Compra</t>
        </is>
      </c>
      <c r="I28" s="16" t="inlineStr">
        <is>
          <t>26/08/2025</t>
        </is>
      </c>
      <c r="J28" s="16" t="n">
        <v>0</v>
      </c>
      <c r="K28" s="17" t="n">
        <v>2548277</v>
      </c>
      <c r="M28" s="16" t="inlineStr">
        <is>
          <t>UNILEVER ANDINA COLOMBIA LTDA/CONCILIACION</t>
        </is>
      </c>
      <c r="N28" s="18">
        <f>+H28&amp;" "&amp;E28</f>
        <v/>
      </c>
      <c r="O28" s="18" t="inlineStr">
        <is>
          <t>Ventas</t>
        </is>
      </c>
    </row>
    <row r="29">
      <c r="A29" s="16" t="n">
        <v>336</v>
      </c>
      <c r="B29" s="16" t="inlineStr">
        <is>
          <t>Pagado</t>
        </is>
      </c>
      <c r="C29" s="16" t="n">
        <v>860002518</v>
      </c>
      <c r="D29" s="16" t="inlineStr">
        <is>
          <t>UNILEVER ANDINA COLOMBIA LTDA</t>
        </is>
      </c>
      <c r="F29" s="16" t="inlineStr">
        <is>
          <t>01/09/2025</t>
        </is>
      </c>
      <c r="G29" s="16" t="n">
        <v>1700026555</v>
      </c>
      <c r="H29" s="16" t="inlineStr">
        <is>
          <t>Nota</t>
        </is>
      </c>
      <c r="I29" s="16" t="inlineStr">
        <is>
          <t>30/08/2025</t>
        </is>
      </c>
      <c r="J29" s="16" t="n">
        <v>0</v>
      </c>
      <c r="K29" s="17" t="n">
        <v>81572549</v>
      </c>
      <c r="L29" s="16" t="inlineStr">
        <is>
          <t>Cota</t>
        </is>
      </c>
      <c r="M29" s="16" t="inlineStr">
        <is>
          <t>SUPER SEMANAL JUL 2025</t>
        </is>
      </c>
      <c r="N29" s="18">
        <f>+M29</f>
        <v/>
      </c>
      <c r="O29" s="18" t="inlineStr">
        <is>
          <t>Ventas</t>
        </is>
      </c>
    </row>
    <row r="30">
      <c r="A30" s="16" t="n">
        <v>337</v>
      </c>
      <c r="B30" s="16" t="inlineStr">
        <is>
          <t>Pagado</t>
        </is>
      </c>
      <c r="C30" s="16" t="n">
        <v>860002518</v>
      </c>
      <c r="D30" s="16" t="inlineStr">
        <is>
          <t>UNILEVER ANDINA COLOMBIA LTDA</t>
        </is>
      </c>
      <c r="F30" s="16" t="inlineStr">
        <is>
          <t>03/09/2025</t>
        </is>
      </c>
      <c r="G30" s="16" t="n">
        <v>1700026626</v>
      </c>
      <c r="H30" s="16" t="inlineStr">
        <is>
          <t>Nota</t>
        </is>
      </c>
      <c r="I30" s="16" t="inlineStr">
        <is>
          <t>01/09/2025</t>
        </is>
      </c>
      <c r="J30" s="16" t="n">
        <v>0</v>
      </c>
      <c r="K30" s="17" t="n">
        <v>36048652</v>
      </c>
      <c r="L30" s="16" t="inlineStr">
        <is>
          <t>Cota</t>
        </is>
      </c>
      <c r="M30" s="16" t="inlineStr">
        <is>
          <t>DDPD UNILEVER AGOSTO 2025</t>
        </is>
      </c>
      <c r="N30" s="18">
        <f>+M30</f>
        <v/>
      </c>
      <c r="O30" s="18" t="inlineStr">
        <is>
          <t>Ventas</t>
        </is>
      </c>
    </row>
    <row r="31">
      <c r="A31" s="16" t="n">
        <v>338</v>
      </c>
      <c r="B31" s="16" t="inlineStr">
        <is>
          <t>Pagado</t>
        </is>
      </c>
      <c r="C31" s="16" t="n">
        <v>860002518</v>
      </c>
      <c r="D31" s="16" t="inlineStr">
        <is>
          <t>UNILEVER ANDINA COLOMBIA LTDA</t>
        </is>
      </c>
      <c r="E31" s="16" t="n">
        <v>5009060426</v>
      </c>
      <c r="F31" s="16" t="inlineStr">
        <is>
          <t>03/09/2025</t>
        </is>
      </c>
      <c r="G31" s="16" t="n">
        <v>5100346777</v>
      </c>
      <c r="H31" s="16" t="inlineStr">
        <is>
          <t>Devolucion</t>
        </is>
      </c>
      <c r="I31" s="16" t="inlineStr">
        <is>
          <t>01/09/2025</t>
        </is>
      </c>
      <c r="J31" s="16" t="n">
        <v>0</v>
      </c>
      <c r="K31" s="17" t="n">
        <v>340531</v>
      </c>
      <c r="L31" s="16" t="inlineStr">
        <is>
          <t>Cota</t>
        </is>
      </c>
      <c r="N31" s="18">
        <f>_xlfn.CONCAT(H31 &amp;" "&amp; E31)</f>
        <v/>
      </c>
      <c r="O31" s="18" t="inlineStr">
        <is>
          <t>AVERIAS</t>
        </is>
      </c>
    </row>
    <row r="32">
      <c r="A32" s="16" t="n">
        <v>339</v>
      </c>
      <c r="B32" s="16" t="inlineStr">
        <is>
          <t>Pagado</t>
        </is>
      </c>
      <c r="C32" s="16" t="n">
        <v>860002518</v>
      </c>
      <c r="D32" s="16" t="inlineStr">
        <is>
          <t>UNILEVER ANDINA COLOMBIA LTDA</t>
        </is>
      </c>
      <c r="E32" s="16" t="inlineStr">
        <is>
          <t>C. UNILEVER</t>
        </is>
      </c>
      <c r="F32" s="16" t="inlineStr">
        <is>
          <t>01/09/2025</t>
        </is>
      </c>
      <c r="G32" s="16" t="n">
        <v>1700026634</v>
      </c>
      <c r="H32" s="16" t="inlineStr">
        <is>
          <t>Nota</t>
        </is>
      </c>
      <c r="I32" s="16" t="inlineStr">
        <is>
          <t>01/09/2025</t>
        </is>
      </c>
      <c r="J32" s="16" t="n">
        <v>0</v>
      </c>
      <c r="K32" s="17" t="n">
        <v>2298420</v>
      </c>
      <c r="M32" s="18" t="inlineStr">
        <is>
          <t>DCTO 2.00% GLOBAL PAGO ANTICIPADO UNILEVER</t>
        </is>
      </c>
      <c r="N32" s="18">
        <f>+M32</f>
        <v/>
      </c>
      <c r="O32" s="18" t="inlineStr">
        <is>
          <t>DPP</t>
        </is>
      </c>
    </row>
    <row r="33">
      <c r="A33" s="16" t="n">
        <v>340</v>
      </c>
      <c r="B33" s="16" t="inlineStr">
        <is>
          <t>Pagado</t>
        </is>
      </c>
      <c r="C33" s="16" t="n">
        <v>860002518</v>
      </c>
      <c r="D33" s="16" t="inlineStr">
        <is>
          <t>UNILEVER ANDINA COLOMBIA LTDA</t>
        </is>
      </c>
      <c r="E33" s="16" t="n">
        <v>5009063203</v>
      </c>
      <c r="F33" s="16" t="inlineStr">
        <is>
          <t>03/09/2025</t>
        </is>
      </c>
      <c r="G33" s="16" t="n">
        <v>5100347222</v>
      </c>
      <c r="H33" s="16" t="inlineStr">
        <is>
          <t>Devolucion</t>
        </is>
      </c>
      <c r="I33" s="16" t="inlineStr">
        <is>
          <t>01/09/2025</t>
        </is>
      </c>
      <c r="J33" s="16" t="n">
        <v>0</v>
      </c>
      <c r="K33" s="17" t="n">
        <v>18852</v>
      </c>
      <c r="L33" s="16" t="inlineStr">
        <is>
          <t>Cota</t>
        </is>
      </c>
      <c r="N33" s="18">
        <f>_xlfn.CONCAT(H33 &amp;" "&amp; E33)</f>
        <v/>
      </c>
      <c r="O33" s="18" t="inlineStr">
        <is>
          <t>AVERIAS</t>
        </is>
      </c>
    </row>
    <row r="34">
      <c r="A34" s="16" t="n">
        <v>341</v>
      </c>
      <c r="B34" s="16" t="inlineStr">
        <is>
          <t>Pagado</t>
        </is>
      </c>
      <c r="C34" s="16" t="n">
        <v>860002518</v>
      </c>
      <c r="D34" s="16" t="inlineStr">
        <is>
          <t>UNILEVER ANDINA COLOMBIA LTDA</t>
        </is>
      </c>
      <c r="E34" s="16" t="inlineStr">
        <is>
          <t>TR DEUDOR</t>
        </is>
      </c>
      <c r="F34" s="16" t="inlineStr">
        <is>
          <t>02/09/2025</t>
        </is>
      </c>
      <c r="G34" s="16" t="inlineStr">
        <is>
          <t>0107236378</t>
        </is>
      </c>
      <c r="H34" s="16" t="inlineStr">
        <is>
          <t>Traslado Notas  Deudor acreedor</t>
        </is>
      </c>
      <c r="I34" s="16" t="inlineStr">
        <is>
          <t>01/09/2025</t>
        </is>
      </c>
      <c r="J34" s="16" t="n">
        <v>0</v>
      </c>
      <c r="K34" s="17" t="n">
        <v>357000</v>
      </c>
      <c r="L34" s="16" t="inlineStr">
        <is>
          <t>Cota</t>
        </is>
      </c>
      <c r="M34" s="18" t="inlineStr">
        <is>
          <t>TR DEUDOR FACT 36164691</t>
        </is>
      </c>
      <c r="N34" s="18">
        <f>+M34</f>
        <v/>
      </c>
      <c r="O34" s="18" t="inlineStr">
        <is>
          <t xml:space="preserve">Factura proveedor </t>
        </is>
      </c>
    </row>
    <row r="35">
      <c r="A35" s="16" t="n">
        <v>342</v>
      </c>
      <c r="B35" s="16" t="inlineStr">
        <is>
          <t>Pagado</t>
        </is>
      </c>
      <c r="C35" s="16" t="n">
        <v>860002518</v>
      </c>
      <c r="D35" s="16" t="inlineStr">
        <is>
          <t>UNILEVER ANDINA COLOMBIA LTDA</t>
        </is>
      </c>
      <c r="E35" s="16" t="n">
        <v>5009071346</v>
      </c>
      <c r="F35" s="16" t="inlineStr">
        <is>
          <t>05/09/2025</t>
        </is>
      </c>
      <c r="G35" s="16" t="n">
        <v>5100349333</v>
      </c>
      <c r="H35" s="16" t="inlineStr">
        <is>
          <t>Devolucion</t>
        </is>
      </c>
      <c r="I35" s="16" t="inlineStr">
        <is>
          <t>02/09/2025</t>
        </is>
      </c>
      <c r="J35" s="16" t="n">
        <v>0</v>
      </c>
      <c r="K35" s="17" t="n">
        <v>196992</v>
      </c>
      <c r="L35" s="16" t="inlineStr">
        <is>
          <t>Palmira</t>
        </is>
      </c>
      <c r="N35" s="18">
        <f>_xlfn.CONCAT(H35 &amp;" "&amp; E35)</f>
        <v/>
      </c>
      <c r="O35" s="18" t="inlineStr">
        <is>
          <t>AVERIAS</t>
        </is>
      </c>
    </row>
    <row r="36">
      <c r="A36" s="16" t="n">
        <v>343</v>
      </c>
      <c r="B36" s="16" t="inlineStr">
        <is>
          <t>Pagado</t>
        </is>
      </c>
      <c r="C36" s="16" t="n">
        <v>860002518</v>
      </c>
      <c r="D36" s="16" t="inlineStr">
        <is>
          <t>UNILEVER ANDINA COLOMBIA LTDA</t>
        </is>
      </c>
      <c r="E36" s="16" t="inlineStr">
        <is>
          <t>C. UNILEVER</t>
        </is>
      </c>
      <c r="F36" s="16" t="inlineStr">
        <is>
          <t>03/09/2025</t>
        </is>
      </c>
      <c r="G36" s="16" t="n">
        <v>1700026831</v>
      </c>
      <c r="H36" s="16" t="inlineStr">
        <is>
          <t>Nota</t>
        </is>
      </c>
      <c r="I36" s="16" t="inlineStr">
        <is>
          <t>03/09/2025</t>
        </is>
      </c>
      <c r="J36" s="16" t="n">
        <v>0</v>
      </c>
      <c r="K36" s="17" t="n">
        <v>12995416</v>
      </c>
      <c r="M36" s="16" t="inlineStr">
        <is>
          <t>DCTO 2.00% GLOBAL PAGO ANTICIPADO UNILEVER</t>
        </is>
      </c>
      <c r="N36" s="18">
        <f>+M36</f>
        <v/>
      </c>
      <c r="O36" s="18" t="inlineStr">
        <is>
          <t>DPP</t>
        </is>
      </c>
    </row>
    <row r="37">
      <c r="A37" s="16" t="n">
        <v>344</v>
      </c>
      <c r="B37" s="16" t="inlineStr">
        <is>
          <t>Pagado</t>
        </is>
      </c>
      <c r="C37" s="16" t="n">
        <v>860002518</v>
      </c>
      <c r="D37" s="16" t="inlineStr">
        <is>
          <t>UNILEVER ANDINA COLOMBIA LTDA</t>
        </is>
      </c>
      <c r="F37" s="16" t="inlineStr">
        <is>
          <t>11/09/2025</t>
        </is>
      </c>
      <c r="G37" s="16" t="n">
        <v>1700026863</v>
      </c>
      <c r="H37" s="16" t="inlineStr">
        <is>
          <t>Nota</t>
        </is>
      </c>
      <c r="I37" s="16" t="inlineStr">
        <is>
          <t>03/09/2025</t>
        </is>
      </c>
      <c r="J37" s="16" t="n">
        <v>0</v>
      </c>
      <c r="K37" s="17" t="n">
        <v>125974323</v>
      </c>
      <c r="L37" s="16" t="inlineStr">
        <is>
          <t>Cota</t>
        </is>
      </c>
      <c r="M37" s="16" t="inlineStr">
        <is>
          <t>PSE PLAN SEM EXPLOSIVAS 18 -23 AGO 2025</t>
        </is>
      </c>
      <c r="N37" s="18">
        <f>+M37</f>
        <v/>
      </c>
      <c r="O37" s="18" t="inlineStr">
        <is>
          <t>Ventas</t>
        </is>
      </c>
    </row>
    <row r="38">
      <c r="A38" s="16" t="n">
        <v>345</v>
      </c>
      <c r="B38" s="16" t="inlineStr">
        <is>
          <t>Pagado</t>
        </is>
      </c>
      <c r="C38" s="16" t="n">
        <v>860002518</v>
      </c>
      <c r="D38" s="16" t="inlineStr">
        <is>
          <t>UNILEVER ANDINA COLOMBIA LTDA</t>
        </is>
      </c>
      <c r="E38" s="16" t="inlineStr">
        <is>
          <t>C. UNILEVER</t>
        </is>
      </c>
      <c r="F38" s="16" t="inlineStr">
        <is>
          <t>04/09/2025</t>
        </is>
      </c>
      <c r="G38" s="16" t="n">
        <v>1700026918</v>
      </c>
      <c r="H38" s="16" t="inlineStr">
        <is>
          <t>Nota</t>
        </is>
      </c>
      <c r="I38" s="16" t="inlineStr">
        <is>
          <t>04/09/2025</t>
        </is>
      </c>
      <c r="J38" s="16" t="n">
        <v>0</v>
      </c>
      <c r="K38" s="17" t="n">
        <v>2446928</v>
      </c>
      <c r="L38" s="16" t="inlineStr">
        <is>
          <t>Palmira</t>
        </is>
      </c>
      <c r="M38" s="16" t="inlineStr">
        <is>
          <t>DCTO 2.00% GLOBAL PAGO ANTICIPADO UNILEVER</t>
        </is>
      </c>
      <c r="N38" s="18">
        <f>+M38</f>
        <v/>
      </c>
      <c r="O38" s="18" t="inlineStr">
        <is>
          <t>DPP</t>
        </is>
      </c>
    </row>
    <row r="39">
      <c r="A39" s="16" t="n">
        <v>346</v>
      </c>
      <c r="B39" s="16" t="inlineStr">
        <is>
          <t>Pagado</t>
        </is>
      </c>
      <c r="C39" s="16" t="n">
        <v>860002518</v>
      </c>
      <c r="D39" s="16" t="inlineStr">
        <is>
          <t>UNILEVER ANDINA COLOMBIA LTDA</t>
        </is>
      </c>
      <c r="E39" s="16" t="n">
        <v>5009086700</v>
      </c>
      <c r="F39" s="16" t="inlineStr">
        <is>
          <t>11/09/2025</t>
        </is>
      </c>
      <c r="G39" s="16" t="n">
        <v>5100352898</v>
      </c>
      <c r="H39" s="16" t="inlineStr">
        <is>
          <t>Devolucion</t>
        </is>
      </c>
      <c r="I39" s="16" t="inlineStr">
        <is>
          <t>05/09/2025</t>
        </is>
      </c>
      <c r="J39" s="16" t="n">
        <v>0</v>
      </c>
      <c r="K39" s="17" t="n">
        <v>2430492</v>
      </c>
      <c r="L39" s="16" t="inlineStr">
        <is>
          <t>Cerritos</t>
        </is>
      </c>
      <c r="N39" s="18">
        <f>_xlfn.CONCAT(H39 &amp;" "&amp; E39)</f>
        <v/>
      </c>
      <c r="O39" s="18" t="inlineStr">
        <is>
          <t>AVERIAS</t>
        </is>
      </c>
    </row>
    <row r="40">
      <c r="A40" s="16" t="n">
        <v>347</v>
      </c>
      <c r="B40" s="16" t="inlineStr">
        <is>
          <t>Pagado</t>
        </is>
      </c>
      <c r="C40" s="16" t="n">
        <v>860002518</v>
      </c>
      <c r="D40" s="16" t="inlineStr">
        <is>
          <t>UNILEVER ANDINA COLOMBIA LTDA</t>
        </is>
      </c>
      <c r="E40" s="16" t="inlineStr">
        <is>
          <t>C. UNILEVER</t>
        </is>
      </c>
      <c r="F40" s="16" t="inlineStr">
        <is>
          <t>05/09/2025</t>
        </is>
      </c>
      <c r="G40" s="16" t="n">
        <v>1700026999</v>
      </c>
      <c r="H40" s="16" t="inlineStr">
        <is>
          <t>Nota</t>
        </is>
      </c>
      <c r="I40" s="16" t="inlineStr">
        <is>
          <t>05/09/2025</t>
        </is>
      </c>
      <c r="J40" s="16" t="n">
        <v>0</v>
      </c>
      <c r="K40" s="17" t="n">
        <v>1132788</v>
      </c>
      <c r="L40" s="16" t="inlineStr">
        <is>
          <t>Cerritos</t>
        </is>
      </c>
      <c r="M40" s="16" t="inlineStr">
        <is>
          <t>DCTO 2.00% GLOBAL PAGO ANTICIPADO UNILEVER</t>
        </is>
      </c>
      <c r="N40" s="18">
        <f>+M40</f>
        <v/>
      </c>
      <c r="O40" s="18" t="inlineStr">
        <is>
          <t>DPP</t>
        </is>
      </c>
    </row>
    <row r="41">
      <c r="A41" s="16" t="n">
        <v>348</v>
      </c>
      <c r="B41" s="16" t="inlineStr">
        <is>
          <t>Pagado</t>
        </is>
      </c>
      <c r="C41" s="16" t="n">
        <v>860002518</v>
      </c>
      <c r="D41" s="16" t="inlineStr">
        <is>
          <t>UNILEVER ANDINA COLOMBIA LTDA</t>
        </is>
      </c>
      <c r="E41" s="16" t="inlineStr">
        <is>
          <t>NOTA DEVOLUCIÓN</t>
        </is>
      </c>
      <c r="F41" s="16" t="inlineStr">
        <is>
          <t>12/09/2025</t>
        </is>
      </c>
      <c r="G41" s="16" t="n">
        <v>1700028193</v>
      </c>
      <c r="H41" s="16" t="inlineStr">
        <is>
          <t>Nota</t>
        </is>
      </c>
      <c r="I41" s="16" t="inlineStr">
        <is>
          <t>05/09/2025</t>
        </is>
      </c>
      <c r="J41" s="16" t="n">
        <v>0</v>
      </c>
      <c r="K41" s="17" t="n">
        <v>15664649</v>
      </c>
      <c r="M41" s="18" t="inlineStr">
        <is>
          <t>NOTA DEVOLUCIÓN POR DEPURACIÓN INVENTARIO SEP 25</t>
        </is>
      </c>
      <c r="N41" s="18">
        <f>+M41</f>
        <v/>
      </c>
      <c r="O41" s="18" t="inlineStr">
        <is>
          <t>Ventas</t>
        </is>
      </c>
    </row>
    <row r="42">
      <c r="A42" s="16" t="n">
        <v>349</v>
      </c>
      <c r="B42" s="16" t="inlineStr">
        <is>
          <t>Pagado</t>
        </is>
      </c>
      <c r="C42" s="16" t="n">
        <v>860002518</v>
      </c>
      <c r="D42" s="16" t="inlineStr">
        <is>
          <t>UNILEVER ANDINA COLOMBIA LTDA</t>
        </is>
      </c>
      <c r="E42" s="16" t="inlineStr">
        <is>
          <t>NOTA DEVOLUCIÓN</t>
        </is>
      </c>
      <c r="F42" s="16" t="inlineStr">
        <is>
          <t>11/09/2025</t>
        </is>
      </c>
      <c r="G42" s="16" t="n">
        <v>1700027314</v>
      </c>
      <c r="H42" s="16" t="inlineStr">
        <is>
          <t>Nota</t>
        </is>
      </c>
      <c r="I42" s="16" t="inlineStr">
        <is>
          <t>05/09/2025</t>
        </is>
      </c>
      <c r="J42" s="16" t="n">
        <v>0</v>
      </c>
      <c r="K42" s="17" t="n">
        <v>12261461</v>
      </c>
      <c r="L42" s="16" t="inlineStr">
        <is>
          <t>Cerritos</t>
        </is>
      </c>
      <c r="M42" s="16" t="inlineStr">
        <is>
          <t>NOTA DEVOLUCIÓN POR DEPURACIÓN INVENTARIO SEP 25</t>
        </is>
      </c>
      <c r="N42" s="18">
        <f>+M42</f>
        <v/>
      </c>
      <c r="O42" s="18" t="inlineStr">
        <is>
          <t>Ventas</t>
        </is>
      </c>
    </row>
    <row r="43">
      <c r="A43" s="16" t="n">
        <v>350</v>
      </c>
      <c r="B43" s="16" t="inlineStr">
        <is>
          <t>Pagado</t>
        </is>
      </c>
      <c r="C43" s="16" t="n">
        <v>860002518</v>
      </c>
      <c r="D43" s="16" t="inlineStr">
        <is>
          <t>UNILEVER ANDINA COLOMBIA LTDA</t>
        </is>
      </c>
      <c r="E43" s="16" t="inlineStr">
        <is>
          <t>NOTA DEVOLUCIÓN</t>
        </is>
      </c>
      <c r="F43" s="16" t="inlineStr">
        <is>
          <t>12/09/2025</t>
        </is>
      </c>
      <c r="G43" s="16" t="n">
        <v>1700028002</v>
      </c>
      <c r="H43" s="16" t="inlineStr">
        <is>
          <t>Nota</t>
        </is>
      </c>
      <c r="I43" s="16" t="inlineStr">
        <is>
          <t>05/09/2025</t>
        </is>
      </c>
      <c r="J43" s="16" t="n">
        <v>0</v>
      </c>
      <c r="K43" s="17" t="n">
        <v>23148793</v>
      </c>
      <c r="L43" s="16" t="inlineStr">
        <is>
          <t>Bucaramanga ZF</t>
        </is>
      </c>
      <c r="M43" s="16" t="inlineStr">
        <is>
          <t>NOTA DEVOLUCIÓN POR DEPURACIÓN INVENTARIO SEP 25</t>
        </is>
      </c>
      <c r="N43" s="18">
        <f>+M43</f>
        <v/>
      </c>
      <c r="O43" s="18" t="inlineStr">
        <is>
          <t>Ventas</t>
        </is>
      </c>
    </row>
    <row r="44">
      <c r="A44" s="16" t="n">
        <v>351</v>
      </c>
      <c r="B44" s="16" t="inlineStr">
        <is>
          <t>Pagado</t>
        </is>
      </c>
      <c r="C44" s="16" t="n">
        <v>860002518</v>
      </c>
      <c r="D44" s="16" t="inlineStr">
        <is>
          <t>UNILEVER ANDINA COLOMBIA LTDA</t>
        </is>
      </c>
      <c r="E44" s="16" t="inlineStr">
        <is>
          <t>NOTA DEVOLUCIÓN</t>
        </is>
      </c>
      <c r="F44" s="16" t="inlineStr">
        <is>
          <t>12/09/2025</t>
        </is>
      </c>
      <c r="G44" s="16" t="n">
        <v>1700027852</v>
      </c>
      <c r="H44" s="16" t="inlineStr">
        <is>
          <t>Nota</t>
        </is>
      </c>
      <c r="I44" s="16" t="inlineStr">
        <is>
          <t>05/09/2025</t>
        </is>
      </c>
      <c r="J44" s="16" t="n">
        <v>0</v>
      </c>
      <c r="K44" s="17" t="n">
        <v>136694904</v>
      </c>
      <c r="L44" s="16" t="inlineStr">
        <is>
          <t>Cota</t>
        </is>
      </c>
      <c r="M44" s="16" t="inlineStr">
        <is>
          <t>NOTA DEVOLUCIÓN POR DEPURACIÓN INVENTARIO SEP 25</t>
        </is>
      </c>
      <c r="N44" s="18">
        <f>+M44</f>
        <v/>
      </c>
      <c r="O44" s="18" t="inlineStr">
        <is>
          <t>Ventas</t>
        </is>
      </c>
    </row>
    <row r="45">
      <c r="A45" s="16" t="n">
        <v>352</v>
      </c>
      <c r="B45" s="16" t="inlineStr">
        <is>
          <t>Pagado</t>
        </is>
      </c>
      <c r="C45" s="16" t="n">
        <v>860002518</v>
      </c>
      <c r="D45" s="16" t="inlineStr">
        <is>
          <t>UNILEVER ANDINA COLOMBIA LTDA</t>
        </is>
      </c>
      <c r="E45" s="16" t="inlineStr">
        <is>
          <t>NOTA DEVOLUCIÓN</t>
        </is>
      </c>
      <c r="F45" s="16" t="inlineStr">
        <is>
          <t>12/09/2025</t>
        </is>
      </c>
      <c r="G45" s="16" t="n">
        <v>1700027696</v>
      </c>
      <c r="H45" s="16" t="inlineStr">
        <is>
          <t>Nota</t>
        </is>
      </c>
      <c r="I45" s="16" t="inlineStr">
        <is>
          <t>05/09/2025</t>
        </is>
      </c>
      <c r="J45" s="16" t="n">
        <v>0</v>
      </c>
      <c r="K45" s="17" t="n">
        <v>58852874</v>
      </c>
      <c r="L45" s="16" t="inlineStr">
        <is>
          <t>Palmira</t>
        </is>
      </c>
      <c r="M45" s="16" t="inlineStr">
        <is>
          <t>NOTA DEVOLUCIÓN POR DEPURACIÓN INVENTARIO SEP 25</t>
        </is>
      </c>
      <c r="N45" s="18">
        <f>+M45</f>
        <v/>
      </c>
      <c r="O45" s="18" t="inlineStr">
        <is>
          <t>Ventas</t>
        </is>
      </c>
    </row>
    <row r="46">
      <c r="A46" s="16" t="n">
        <v>353</v>
      </c>
      <c r="B46" s="16" t="inlineStr">
        <is>
          <t>Pagado</t>
        </is>
      </c>
      <c r="C46" s="16" t="n">
        <v>860002518</v>
      </c>
      <c r="D46" s="16" t="inlineStr">
        <is>
          <t>UNILEVER ANDINA COLOMBIA LTDA</t>
        </is>
      </c>
      <c r="E46" s="16" t="inlineStr">
        <is>
          <t>NOTA DEVOLUCIÓN</t>
        </is>
      </c>
      <c r="F46" s="16" t="inlineStr">
        <is>
          <t>12/09/2025</t>
        </is>
      </c>
      <c r="G46" s="16" t="n">
        <v>1700027502</v>
      </c>
      <c r="H46" s="16" t="inlineStr">
        <is>
          <t>Nota</t>
        </is>
      </c>
      <c r="I46" s="16" t="inlineStr">
        <is>
          <t>05/09/2025</t>
        </is>
      </c>
      <c r="J46" s="16" t="n">
        <v>0</v>
      </c>
      <c r="K46" s="17" t="n">
        <v>25771569</v>
      </c>
      <c r="L46" s="16" t="inlineStr">
        <is>
          <t>Barranquilla</t>
        </is>
      </c>
      <c r="M46" s="16" t="inlineStr">
        <is>
          <t>NOTA DEVOLUCIÓN POR DEPURACIÓN INVENTARIO SEP 25</t>
        </is>
      </c>
      <c r="N46" s="18">
        <f>+M46</f>
        <v/>
      </c>
      <c r="O46" s="18" t="inlineStr">
        <is>
          <t>Ventas</t>
        </is>
      </c>
    </row>
    <row r="47">
      <c r="A47" s="16" t="n">
        <v>354</v>
      </c>
      <c r="B47" s="16" t="inlineStr">
        <is>
          <t>Pagado</t>
        </is>
      </c>
      <c r="C47" s="16" t="n">
        <v>860002518</v>
      </c>
      <c r="D47" s="16" t="inlineStr">
        <is>
          <t>UNILEVER ANDINA COLOMBIA LTDA</t>
        </is>
      </c>
      <c r="E47" s="16" t="n">
        <v>5009087567</v>
      </c>
      <c r="F47" s="16" t="inlineStr">
        <is>
          <t>08/09/2025</t>
        </is>
      </c>
      <c r="G47" s="16" t="n">
        <v>5100353035</v>
      </c>
      <c r="H47" s="16" t="inlineStr">
        <is>
          <t>Devolucion</t>
        </is>
      </c>
      <c r="I47" s="16" t="inlineStr">
        <is>
          <t>05/09/2025</t>
        </is>
      </c>
      <c r="J47" s="16" t="n">
        <v>0</v>
      </c>
      <c r="K47" s="17" t="n">
        <v>183754</v>
      </c>
      <c r="N47" s="18">
        <f>_xlfn.CONCAT(H47 &amp;" "&amp; E47)</f>
        <v/>
      </c>
      <c r="O47" s="18" t="inlineStr">
        <is>
          <t>AVERIAS</t>
        </is>
      </c>
    </row>
    <row r="48">
      <c r="A48" s="16" t="n">
        <v>355</v>
      </c>
      <c r="B48" s="16" t="inlineStr">
        <is>
          <t>Pagado</t>
        </is>
      </c>
      <c r="C48" s="16" t="n">
        <v>860002518</v>
      </c>
      <c r="D48" s="16" t="inlineStr">
        <is>
          <t>UNILEVER ANDINA COLOMBIA LTDA</t>
        </is>
      </c>
      <c r="E48" s="16" t="n">
        <v>5009087954</v>
      </c>
      <c r="F48" s="16" t="inlineStr">
        <is>
          <t>08/09/2025</t>
        </is>
      </c>
      <c r="G48" s="16" t="n">
        <v>5100353121</v>
      </c>
      <c r="H48" s="16" t="inlineStr">
        <is>
          <t>Devolucion</t>
        </is>
      </c>
      <c r="I48" s="16" t="inlineStr">
        <is>
          <t>05/09/2025</t>
        </is>
      </c>
      <c r="J48" s="16" t="n">
        <v>0</v>
      </c>
      <c r="K48" s="17" t="n">
        <v>172526</v>
      </c>
      <c r="N48" s="18">
        <f>_xlfn.CONCAT(H48 &amp;" "&amp; E48)</f>
        <v/>
      </c>
      <c r="O48" s="18" t="inlineStr">
        <is>
          <t>AVERIAS</t>
        </is>
      </c>
    </row>
    <row r="49">
      <c r="A49" s="16" t="n">
        <v>356</v>
      </c>
      <c r="B49" s="16" t="inlineStr">
        <is>
          <t>Pagado</t>
        </is>
      </c>
      <c r="C49" s="16" t="n">
        <v>860002518</v>
      </c>
      <c r="D49" s="16" t="inlineStr">
        <is>
          <t>UNILEVER ANDINA COLOMBIA LTDA</t>
        </is>
      </c>
      <c r="E49" s="16" t="n">
        <v>5009088427</v>
      </c>
      <c r="F49" s="16" t="inlineStr">
        <is>
          <t>11/09/2025</t>
        </is>
      </c>
      <c r="G49" s="16" t="n">
        <v>5100353305</v>
      </c>
      <c r="H49" s="16" t="inlineStr">
        <is>
          <t>Devolucion</t>
        </is>
      </c>
      <c r="I49" s="16" t="inlineStr">
        <is>
          <t>05/09/2025</t>
        </is>
      </c>
      <c r="J49" s="16" t="n">
        <v>0</v>
      </c>
      <c r="K49" s="17" t="n">
        <v>57174</v>
      </c>
      <c r="L49" s="16" t="inlineStr">
        <is>
          <t>Cerritos</t>
        </is>
      </c>
      <c r="N49" s="18">
        <f>_xlfn.CONCAT(H49 &amp;" "&amp; E49)</f>
        <v/>
      </c>
      <c r="O49" s="18" t="inlineStr">
        <is>
          <t>AVERIAS</t>
        </is>
      </c>
    </row>
    <row r="50">
      <c r="A50" s="16" t="n">
        <v>357</v>
      </c>
      <c r="B50" s="16" t="inlineStr">
        <is>
          <t>Pagado</t>
        </is>
      </c>
      <c r="C50" s="16" t="n">
        <v>860002518</v>
      </c>
      <c r="D50" s="16" t="inlineStr">
        <is>
          <t>UNILEVER ANDINA COLOMBIA LTDA</t>
        </is>
      </c>
      <c r="E50" s="16" t="inlineStr">
        <is>
          <t>C. UNILEVER</t>
        </is>
      </c>
      <c r="F50" s="16" t="inlineStr">
        <is>
          <t>08/09/2025</t>
        </is>
      </c>
      <c r="G50" s="16" t="n">
        <v>1700028570</v>
      </c>
      <c r="H50" s="16" t="inlineStr">
        <is>
          <t>Nota</t>
        </is>
      </c>
      <c r="I50" s="16" t="inlineStr">
        <is>
          <t>08/09/2025</t>
        </is>
      </c>
      <c r="J50" s="16" t="n">
        <v>0</v>
      </c>
      <c r="K50" s="17" t="n">
        <v>2590872</v>
      </c>
      <c r="M50" s="16" t="inlineStr">
        <is>
          <t>DCTO 2.00% GLOBAL PAGO ANTICIPADO UNILEVER</t>
        </is>
      </c>
      <c r="N50" s="18">
        <f>+M50</f>
        <v/>
      </c>
      <c r="O50" s="18" t="inlineStr">
        <is>
          <t>DPP</t>
        </is>
      </c>
    </row>
    <row r="51">
      <c r="A51" s="16" t="n">
        <v>358</v>
      </c>
      <c r="B51" s="16" t="inlineStr">
        <is>
          <t>Pagado</t>
        </is>
      </c>
      <c r="C51" s="16" t="n">
        <v>860002518</v>
      </c>
      <c r="D51" s="16" t="inlineStr">
        <is>
          <t>UNILEVER ANDINA COLOMBIA LTDA</t>
        </is>
      </c>
      <c r="E51" s="16" t="inlineStr">
        <is>
          <t>AUT.G.COMERCIAL</t>
        </is>
      </c>
      <c r="F51" s="16" t="inlineStr">
        <is>
          <t>12/09/2025</t>
        </is>
      </c>
      <c r="G51" s="16" t="n">
        <v>1700028339</v>
      </c>
      <c r="H51" s="16" t="inlineStr">
        <is>
          <t>Nota</t>
        </is>
      </c>
      <c r="I51" s="16" t="inlineStr">
        <is>
          <t>08/09/2025</t>
        </is>
      </c>
      <c r="J51" s="16" t="n">
        <v>0</v>
      </c>
      <c r="K51" s="17" t="n">
        <v>110942</v>
      </c>
      <c r="L51" s="16" t="inlineStr">
        <is>
          <t>Cota</t>
        </is>
      </c>
      <c r="M51" s="18" t="inlineStr">
        <is>
          <t>Dev.&gt;.a.30.dias.en.CEDI.8_Sep_</t>
        </is>
      </c>
      <c r="N51" s="18">
        <f>+M51</f>
        <v/>
      </c>
      <c r="O51" s="18" t="inlineStr">
        <is>
          <t xml:space="preserve">COL </t>
        </is>
      </c>
    </row>
    <row r="52">
      <c r="A52" s="16" t="n">
        <v>359</v>
      </c>
      <c r="B52" s="16" t="inlineStr">
        <is>
          <t>Pagado</t>
        </is>
      </c>
      <c r="C52" s="16" t="n">
        <v>860002518</v>
      </c>
      <c r="D52" s="16" t="inlineStr">
        <is>
          <t>UNILEVER ANDINA COLOMBIA LTDA</t>
        </is>
      </c>
      <c r="E52" s="16" t="n">
        <v>5009107001</v>
      </c>
      <c r="F52" s="16" t="inlineStr">
        <is>
          <t>11/09/2025</t>
        </is>
      </c>
      <c r="G52" s="16" t="n">
        <v>5100358059</v>
      </c>
      <c r="H52" s="16" t="inlineStr">
        <is>
          <t>Devolucion</t>
        </is>
      </c>
      <c r="I52" s="16" t="inlineStr">
        <is>
          <t>10/09/2025</t>
        </is>
      </c>
      <c r="J52" s="16" t="n">
        <v>0</v>
      </c>
      <c r="K52" s="17" t="n">
        <v>18852</v>
      </c>
      <c r="N52" s="18">
        <f>_xlfn.CONCAT(H52 &amp;" "&amp; E52)</f>
        <v/>
      </c>
      <c r="O52" s="18" t="inlineStr">
        <is>
          <t>AVERIAS</t>
        </is>
      </c>
    </row>
    <row r="53">
      <c r="A53" s="16" t="n">
        <v>360</v>
      </c>
      <c r="B53" s="16" t="inlineStr">
        <is>
          <t>Pagado</t>
        </is>
      </c>
      <c r="C53" s="16" t="n">
        <v>860002518</v>
      </c>
      <c r="D53" s="16" t="inlineStr">
        <is>
          <t>UNILEVER ANDINA COLOMBIA LTDA</t>
        </is>
      </c>
      <c r="F53" s="16" t="inlineStr">
        <is>
          <t>12/09/2025</t>
        </is>
      </c>
      <c r="G53" s="16" t="n">
        <v>1700028683</v>
      </c>
      <c r="H53" s="16" t="inlineStr">
        <is>
          <t>Nota</t>
        </is>
      </c>
      <c r="I53" s="16" t="inlineStr">
        <is>
          <t>11/09/2025</t>
        </is>
      </c>
      <c r="J53" s="16" t="n">
        <v>0</v>
      </c>
      <c r="K53" s="17" t="n">
        <v>82067413</v>
      </c>
      <c r="L53" s="16" t="inlineStr">
        <is>
          <t>Cota</t>
        </is>
      </c>
      <c r="M53" s="16" t="inlineStr">
        <is>
          <t>DDPD UNILEVER MIN 2Q 2025</t>
        </is>
      </c>
      <c r="N53" s="18">
        <f>+M53</f>
        <v/>
      </c>
      <c r="O53" s="18" t="inlineStr">
        <is>
          <t>Ventas</t>
        </is>
      </c>
    </row>
    <row r="54">
      <c r="A54" s="16" t="n">
        <v>361</v>
      </c>
      <c r="B54" s="16" t="inlineStr">
        <is>
          <t>Pagado</t>
        </is>
      </c>
      <c r="C54" s="16" t="n">
        <v>860002518</v>
      </c>
      <c r="D54" s="16" t="inlineStr">
        <is>
          <t>UNILEVER ANDINA COLOMBIA LTDA</t>
        </is>
      </c>
      <c r="E54" s="16" t="n">
        <v>5009114437</v>
      </c>
      <c r="F54" s="16" t="inlineStr">
        <is>
          <t>16/09/2025</t>
        </is>
      </c>
      <c r="G54" s="16" t="n">
        <v>5100360077</v>
      </c>
      <c r="H54" s="16" t="inlineStr">
        <is>
          <t>Devolucion</t>
        </is>
      </c>
      <c r="I54" s="16" t="inlineStr">
        <is>
          <t>11/09/2025</t>
        </is>
      </c>
      <c r="J54" s="16" t="n">
        <v>0</v>
      </c>
      <c r="K54" s="17" t="n">
        <v>18696</v>
      </c>
      <c r="L54" s="16" t="inlineStr">
        <is>
          <t>Cerritos</t>
        </is>
      </c>
      <c r="N54" s="18">
        <f>_xlfn.CONCAT(H54 &amp;" "&amp; E54)</f>
        <v/>
      </c>
      <c r="O54" s="18" t="inlineStr">
        <is>
          <t>AVERIAS</t>
        </is>
      </c>
    </row>
    <row r="55">
      <c r="A55" s="16" t="n">
        <v>362</v>
      </c>
      <c r="B55" s="16" t="inlineStr">
        <is>
          <t>Pagado</t>
        </is>
      </c>
      <c r="C55" s="16" t="n">
        <v>860002518</v>
      </c>
      <c r="D55" s="16" t="inlineStr">
        <is>
          <t>UNILEVER ANDINA COLOMBIA LTDA</t>
        </is>
      </c>
      <c r="E55" s="16" t="inlineStr">
        <is>
          <t>C. UNILEVER</t>
        </is>
      </c>
      <c r="F55" s="16" t="inlineStr">
        <is>
          <t>11/09/2025</t>
        </is>
      </c>
      <c r="G55" s="16" t="n">
        <v>1700028694</v>
      </c>
      <c r="H55" s="16" t="inlineStr">
        <is>
          <t>Nota</t>
        </is>
      </c>
      <c r="I55" s="16" t="inlineStr">
        <is>
          <t>11/09/2025</t>
        </is>
      </c>
      <c r="J55" s="16" t="n">
        <v>0</v>
      </c>
      <c r="K55" s="17" t="n">
        <v>3554281</v>
      </c>
      <c r="L55" s="16" t="inlineStr">
        <is>
          <t>Palmira</t>
        </is>
      </c>
      <c r="M55" s="16" t="inlineStr">
        <is>
          <t>DCTO 2.00% GLOBAL PAGO ANTICIPADO UNILEVER</t>
        </is>
      </c>
      <c r="N55" s="18">
        <f>+M55</f>
        <v/>
      </c>
      <c r="O55" s="18" t="inlineStr">
        <is>
          <t>DPP</t>
        </is>
      </c>
    </row>
    <row r="56">
      <c r="A56" s="16" t="n">
        <v>363</v>
      </c>
      <c r="B56" s="16" t="inlineStr">
        <is>
          <t>Pagado</t>
        </is>
      </c>
      <c r="C56" s="16" t="n">
        <v>860002518</v>
      </c>
      <c r="D56" s="16" t="inlineStr">
        <is>
          <t>UNILEVER ANDINA COLOMBIA LTDA</t>
        </is>
      </c>
      <c r="E56" s="16" t="inlineStr">
        <is>
          <t>C. UNILEVER</t>
        </is>
      </c>
      <c r="F56" s="16" t="inlineStr">
        <is>
          <t>12/09/2025</t>
        </is>
      </c>
      <c r="G56" s="16" t="n">
        <v>1700028726</v>
      </c>
      <c r="H56" s="16" t="inlineStr">
        <is>
          <t>Nota</t>
        </is>
      </c>
      <c r="I56" s="16" t="inlineStr">
        <is>
          <t>12/09/2025</t>
        </is>
      </c>
      <c r="J56" s="16" t="n">
        <v>0</v>
      </c>
      <c r="K56" s="17" t="n">
        <v>22013501</v>
      </c>
      <c r="M56" s="16" t="inlineStr">
        <is>
          <t>DCTO 2.00% GLOBAL PAGO ANTICIPADO UNILEVER</t>
        </is>
      </c>
      <c r="N56" s="18">
        <f>+M56</f>
        <v/>
      </c>
      <c r="O56" s="18" t="inlineStr">
        <is>
          <t>DPP</t>
        </is>
      </c>
    </row>
    <row r="57">
      <c r="A57" s="16" t="n">
        <v>364</v>
      </c>
      <c r="B57" s="16" t="inlineStr">
        <is>
          <t>Pagado</t>
        </is>
      </c>
      <c r="C57" s="16" t="n">
        <v>860002518</v>
      </c>
      <c r="D57" s="16" t="inlineStr">
        <is>
          <t>UNILEVER ANDINA COLOMBIA LTDA</t>
        </is>
      </c>
      <c r="F57" s="16" t="inlineStr">
        <is>
          <t>16/09/2025</t>
        </is>
      </c>
      <c r="G57" s="16" t="n">
        <v>1700028744</v>
      </c>
      <c r="H57" s="16" t="inlineStr">
        <is>
          <t>Nota</t>
        </is>
      </c>
      <c r="I57" s="16" t="inlineStr">
        <is>
          <t>12/09/2025</t>
        </is>
      </c>
      <c r="J57" s="16" t="n">
        <v>0</v>
      </c>
      <c r="K57" s="17" t="n">
        <v>21924864</v>
      </c>
      <c r="L57" s="16" t="inlineStr">
        <is>
          <t>Cota</t>
        </is>
      </c>
      <c r="M57" s="16" t="inlineStr">
        <is>
          <t>TRASPASO DE REG.A OBS.UNILEVER DIV.A 12.09.2025</t>
        </is>
      </c>
      <c r="N57" s="18">
        <f>+M57</f>
        <v/>
      </c>
      <c r="O57" s="18" t="inlineStr">
        <is>
          <t>Ventas</t>
        </is>
      </c>
    </row>
    <row r="58">
      <c r="A58" s="16" t="n">
        <v>365</v>
      </c>
      <c r="B58" s="16" t="inlineStr">
        <is>
          <t>Pagado</t>
        </is>
      </c>
      <c r="C58" s="16" t="n">
        <v>860002518</v>
      </c>
      <c r="D58" s="16" t="inlineStr">
        <is>
          <t>UNILEVER ANDINA COLOMBIA LTDA</t>
        </is>
      </c>
      <c r="E58" s="16" t="n">
        <v>5009119417</v>
      </c>
      <c r="F58" s="16" t="inlineStr">
        <is>
          <t>16/09/2025</t>
        </is>
      </c>
      <c r="G58" s="16" t="n">
        <v>5100361615</v>
      </c>
      <c r="H58" s="16" t="inlineStr">
        <is>
          <t>Devolucion</t>
        </is>
      </c>
      <c r="I58" s="16" t="inlineStr">
        <is>
          <t>13/09/2025</t>
        </is>
      </c>
      <c r="J58" s="16" t="n">
        <v>0</v>
      </c>
      <c r="K58" s="17" t="n">
        <v>615131</v>
      </c>
      <c r="L58" s="16" t="inlineStr">
        <is>
          <t>Palmira</t>
        </is>
      </c>
      <c r="N58" s="18">
        <f>_xlfn.CONCAT(H58 &amp;" "&amp; E58)</f>
        <v/>
      </c>
      <c r="O58" s="18" t="inlineStr">
        <is>
          <t>AVERIAS</t>
        </is>
      </c>
    </row>
    <row r="59">
      <c r="A59" s="16" t="n">
        <v>366</v>
      </c>
      <c r="B59" s="16" t="inlineStr">
        <is>
          <t>Pagado</t>
        </is>
      </c>
      <c r="C59" s="16" t="n">
        <v>860002518</v>
      </c>
      <c r="D59" s="16" t="inlineStr">
        <is>
          <t>UNILEVER ANDINA COLOMBIA LTDA</t>
        </is>
      </c>
      <c r="E59" s="16" t="n">
        <v>5009121094</v>
      </c>
      <c r="F59" s="16" t="inlineStr">
        <is>
          <t>16/09/2025</t>
        </is>
      </c>
      <c r="G59" s="16" t="n">
        <v>5100362088</v>
      </c>
      <c r="H59" s="16" t="inlineStr">
        <is>
          <t>Devolucion</t>
        </is>
      </c>
      <c r="I59" s="16" t="inlineStr">
        <is>
          <t>13/09/2025</t>
        </is>
      </c>
      <c r="J59" s="16" t="n">
        <v>0</v>
      </c>
      <c r="K59" s="17" t="n">
        <v>66713</v>
      </c>
      <c r="L59" s="16" t="inlineStr">
        <is>
          <t>Palmira</t>
        </is>
      </c>
      <c r="N59" s="18">
        <f>_xlfn.CONCAT(H59 &amp;" "&amp; E59)</f>
        <v/>
      </c>
      <c r="O59" s="18" t="inlineStr">
        <is>
          <t>AVERIAS</t>
        </is>
      </c>
    </row>
    <row r="60">
      <c r="A60" s="16" t="n">
        <v>367</v>
      </c>
      <c r="B60" s="16" t="inlineStr">
        <is>
          <t>Pagado</t>
        </is>
      </c>
      <c r="C60" s="16" t="n">
        <v>860002518</v>
      </c>
      <c r="D60" s="16" t="inlineStr">
        <is>
          <t>UNILEVER ANDINA COLOMBIA LTDA</t>
        </is>
      </c>
      <c r="E60" s="16" t="n">
        <v>5009121267</v>
      </c>
      <c r="F60" s="16" t="inlineStr">
        <is>
          <t>16/09/2025</t>
        </is>
      </c>
      <c r="G60" s="16" t="n">
        <v>5100362170</v>
      </c>
      <c r="H60" s="16" t="inlineStr">
        <is>
          <t>Devolucion</t>
        </is>
      </c>
      <c r="I60" s="16" t="inlineStr">
        <is>
          <t>15/09/2025</t>
        </is>
      </c>
      <c r="J60" s="16" t="n">
        <v>0</v>
      </c>
      <c r="K60" s="17" t="n">
        <v>1063423</v>
      </c>
      <c r="L60" s="16" t="inlineStr">
        <is>
          <t>Cota</t>
        </is>
      </c>
      <c r="N60" s="18">
        <f>_xlfn.CONCAT(H60 &amp;" "&amp; E60)</f>
        <v/>
      </c>
      <c r="O60" s="18" t="inlineStr">
        <is>
          <t>AVERIAS</t>
        </is>
      </c>
    </row>
    <row r="61">
      <c r="A61" s="16" t="n">
        <v>368</v>
      </c>
      <c r="B61" s="16" t="inlineStr">
        <is>
          <t>Pagado</t>
        </is>
      </c>
      <c r="C61" s="16" t="n">
        <v>860002518</v>
      </c>
      <c r="D61" s="16" t="inlineStr">
        <is>
          <t>UNILEVER ANDINA COLOMBIA LTDA</t>
        </is>
      </c>
      <c r="E61" s="16" t="inlineStr">
        <is>
          <t>C. UNILEVER</t>
        </is>
      </c>
      <c r="F61" s="16" t="inlineStr">
        <is>
          <t>16/09/2025</t>
        </is>
      </c>
      <c r="G61" s="16" t="n">
        <v>1700028816</v>
      </c>
      <c r="H61" s="16" t="inlineStr">
        <is>
          <t>Nota</t>
        </is>
      </c>
      <c r="I61" s="16" t="inlineStr">
        <is>
          <t>16/09/2025</t>
        </is>
      </c>
      <c r="J61" s="16" t="n">
        <v>0</v>
      </c>
      <c r="K61" s="17" t="n">
        <v>1424477</v>
      </c>
      <c r="L61" s="16" t="inlineStr">
        <is>
          <t>Bucaramanga ZF</t>
        </is>
      </c>
      <c r="M61" s="16" t="inlineStr">
        <is>
          <t>DCTO 2.00% GLOBAL PAGO ANTICIPADO UNILEVER</t>
        </is>
      </c>
      <c r="N61" s="18">
        <f>+M61</f>
        <v/>
      </c>
      <c r="O61" s="18" t="inlineStr">
        <is>
          <t>DPP</t>
        </is>
      </c>
    </row>
    <row r="62">
      <c r="A62" s="16" t="n">
        <v>369</v>
      </c>
      <c r="B62" s="16" t="inlineStr">
        <is>
          <t>Pagado</t>
        </is>
      </c>
      <c r="C62" s="16" t="n">
        <v>860002518</v>
      </c>
      <c r="D62" s="16" t="inlineStr">
        <is>
          <t>UNILEVER ANDINA COLOMBIA LTDA</t>
        </is>
      </c>
      <c r="E62" s="16" t="inlineStr">
        <is>
          <t>C. UNILEVER</t>
        </is>
      </c>
      <c r="F62" s="16" t="inlineStr">
        <is>
          <t>17/09/2025</t>
        </is>
      </c>
      <c r="G62" s="16" t="n">
        <v>1700029124</v>
      </c>
      <c r="H62" s="16" t="inlineStr">
        <is>
          <t>Nota</t>
        </is>
      </c>
      <c r="I62" s="16" t="inlineStr">
        <is>
          <t>17/09/2025</t>
        </is>
      </c>
      <c r="J62" s="16" t="n">
        <v>0</v>
      </c>
      <c r="K62" s="17" t="n">
        <v>13431150</v>
      </c>
      <c r="M62" s="16" t="inlineStr">
        <is>
          <t>DCTO 2.00% GLOBAL PAGO ANTICIPADO UNILEVER</t>
        </is>
      </c>
      <c r="N62" s="18">
        <f>+M62</f>
        <v/>
      </c>
      <c r="O62" s="18" t="inlineStr">
        <is>
          <t>DPP</t>
        </is>
      </c>
    </row>
    <row r="63">
      <c r="A63" s="16" t="n">
        <v>571</v>
      </c>
      <c r="B63" s="16" t="inlineStr">
        <is>
          <t>Pagado</t>
        </is>
      </c>
      <c r="C63" s="16" t="n">
        <v>860002518</v>
      </c>
      <c r="D63" s="16" t="inlineStr">
        <is>
          <t>UNILEVER ANDINA COLOMBIA LTDA</t>
        </is>
      </c>
      <c r="E63" s="16" t="inlineStr">
        <is>
          <t>PMP-1270679</t>
        </is>
      </c>
      <c r="F63" s="16" t="inlineStr">
        <is>
          <t>01/09/2025</t>
        </is>
      </c>
      <c r="G63" s="16" t="n">
        <v>5100309351</v>
      </c>
      <c r="H63" s="16" t="inlineStr">
        <is>
          <t>Reduc Factura Compra</t>
        </is>
      </c>
      <c r="I63" s="16" t="inlineStr">
        <is>
          <t>04/08/2025</t>
        </is>
      </c>
      <c r="J63" s="16" t="n">
        <v>0</v>
      </c>
      <c r="K63" s="17" t="n">
        <v>77845</v>
      </c>
      <c r="L63" s="16" t="inlineStr">
        <is>
          <t>Barranquilla</t>
        </is>
      </c>
      <c r="M63" s="16" t="inlineStr">
        <is>
          <t>UNILEVER ANDINA COLOMBIA LTDA</t>
        </is>
      </c>
      <c r="N63" s="18">
        <f>+H63&amp;" "&amp;E63</f>
        <v/>
      </c>
      <c r="O63" s="18" t="inlineStr">
        <is>
          <t>Ventas</t>
        </is>
      </c>
    </row>
    <row r="64">
      <c r="A64" s="16" t="n">
        <v>572</v>
      </c>
      <c r="B64" s="16" t="inlineStr">
        <is>
          <t>Pagado</t>
        </is>
      </c>
      <c r="C64" s="16" t="n">
        <v>860002518</v>
      </c>
      <c r="D64" s="16" t="inlineStr">
        <is>
          <t>UNILEVER ANDINA COLOMBIA LTDA</t>
        </is>
      </c>
      <c r="E64" s="16" t="inlineStr">
        <is>
          <t>PMP-1270679</t>
        </is>
      </c>
      <c r="F64" s="16" t="inlineStr">
        <is>
          <t>01/09/2025</t>
        </is>
      </c>
      <c r="G64" s="16" t="n">
        <v>5100309350</v>
      </c>
      <c r="H64" s="16" t="inlineStr">
        <is>
          <t>Factura Acrededor</t>
        </is>
      </c>
      <c r="I64" s="16" t="inlineStr">
        <is>
          <t>04/08/2025</t>
        </is>
      </c>
      <c r="J64" s="16" t="n">
        <v>0</v>
      </c>
      <c r="K64" s="17" t="n">
        <v>-9897916</v>
      </c>
      <c r="L64" s="16" t="inlineStr">
        <is>
          <t>Barranquilla</t>
        </is>
      </c>
      <c r="M64" s="16" t="inlineStr">
        <is>
          <t>UNILEVER ANDINA COLOMBIA LTDA</t>
        </is>
      </c>
      <c r="N64" s="18">
        <f>+H64&amp;" "&amp; E64</f>
        <v/>
      </c>
      <c r="O64" s="18" t="inlineStr">
        <is>
          <t>Cartera</t>
        </is>
      </c>
    </row>
    <row r="65">
      <c r="A65" s="16" t="n">
        <v>580</v>
      </c>
      <c r="B65" s="16" t="inlineStr">
        <is>
          <t>Pagado</t>
        </is>
      </c>
      <c r="C65" s="16" t="n">
        <v>860002518</v>
      </c>
      <c r="D65" s="16" t="inlineStr">
        <is>
          <t>UNILEVER ANDINA COLOMBIA LTDA</t>
        </is>
      </c>
      <c r="E65" s="16" t="inlineStr">
        <is>
          <t>PMP1271666</t>
        </is>
      </c>
      <c r="F65" s="16" t="inlineStr">
        <is>
          <t>01/09/2025</t>
        </is>
      </c>
      <c r="G65" s="16" t="n">
        <v>5100309043</v>
      </c>
      <c r="H65" s="16" t="inlineStr">
        <is>
          <t>Factura Acrededor</t>
        </is>
      </c>
      <c r="I65" s="16" t="inlineStr">
        <is>
          <t>07/08/2025</t>
        </is>
      </c>
      <c r="J65" s="16" t="n">
        <v>0</v>
      </c>
      <c r="K65" s="17" t="n">
        <v>-3533381</v>
      </c>
      <c r="L65" s="16" t="inlineStr">
        <is>
          <t>Bucaramanga ZF</t>
        </is>
      </c>
      <c r="M65" s="16" t="inlineStr">
        <is>
          <t>UNILEVER ANDINA COLOMBIA LTDA/CONCILIACION</t>
        </is>
      </c>
      <c r="N65" s="18">
        <f>+H65&amp;" "&amp; E65</f>
        <v/>
      </c>
      <c r="O65" s="18" t="inlineStr">
        <is>
          <t>Cartera</t>
        </is>
      </c>
    </row>
    <row r="66">
      <c r="A66" s="16" t="n">
        <v>581</v>
      </c>
      <c r="B66" s="16" t="inlineStr">
        <is>
          <t>Pagado</t>
        </is>
      </c>
      <c r="C66" s="16" t="n">
        <v>860002518</v>
      </c>
      <c r="D66" s="16" t="inlineStr">
        <is>
          <t>UNILEVER ANDINA COLOMBIA LTDA</t>
        </is>
      </c>
      <c r="E66" s="16" t="inlineStr">
        <is>
          <t>PMP1271666</t>
        </is>
      </c>
      <c r="F66" s="16" t="inlineStr">
        <is>
          <t>01/09/2025</t>
        </is>
      </c>
      <c r="G66" s="16" t="n">
        <v>5100309044</v>
      </c>
      <c r="H66" s="16" t="inlineStr">
        <is>
          <t>Reduc Factura Compra</t>
        </is>
      </c>
      <c r="I66" s="16" t="inlineStr">
        <is>
          <t>07/08/2025</t>
        </is>
      </c>
      <c r="J66" s="16" t="n">
        <v>0</v>
      </c>
      <c r="K66" s="17" t="n">
        <v>45804</v>
      </c>
      <c r="L66" s="16" t="inlineStr">
        <is>
          <t>Bucaramanga ZF</t>
        </is>
      </c>
      <c r="M66" s="16" t="inlineStr">
        <is>
          <t>UNILEVER ANDINA COLOMBIA LTDA/CONCILIACION</t>
        </is>
      </c>
      <c r="N66" s="18">
        <f>+H66&amp;" "&amp;E66</f>
        <v/>
      </c>
      <c r="O66" s="18" t="inlineStr">
        <is>
          <t>Ventas</t>
        </is>
      </c>
    </row>
    <row r="67">
      <c r="A67" s="16" t="n">
        <v>582</v>
      </c>
      <c r="B67" s="16" t="inlineStr">
        <is>
          <t>Pagado</t>
        </is>
      </c>
      <c r="C67" s="16" t="n">
        <v>860002518</v>
      </c>
      <c r="D67" s="16" t="inlineStr">
        <is>
          <t>UNILEVER ANDINA COLOMBIA LTDA</t>
        </is>
      </c>
      <c r="E67" s="16" t="inlineStr">
        <is>
          <t>PMP1271664</t>
        </is>
      </c>
      <c r="F67" s="16" t="inlineStr">
        <is>
          <t>01/09/2025</t>
        </is>
      </c>
      <c r="G67" s="16" t="n">
        <v>5100309093</v>
      </c>
      <c r="H67" s="16" t="inlineStr">
        <is>
          <t>Factura Acrededor</t>
        </is>
      </c>
      <c r="I67" s="16" t="inlineStr">
        <is>
          <t>07/08/2025</t>
        </is>
      </c>
      <c r="J67" s="16" t="n">
        <v>0</v>
      </c>
      <c r="K67" s="17" t="n">
        <v>-285000</v>
      </c>
      <c r="L67" s="16" t="inlineStr">
        <is>
          <t>Bucaramanga ZF</t>
        </is>
      </c>
      <c r="M67" s="16" t="inlineStr">
        <is>
          <t>UNILEVER ANDINA COLOMBIA LTDA</t>
        </is>
      </c>
      <c r="N67" s="18">
        <f>+H67&amp;" "&amp; E67</f>
        <v/>
      </c>
      <c r="O67" s="18" t="inlineStr">
        <is>
          <t>Cartera</t>
        </is>
      </c>
    </row>
    <row r="68">
      <c r="A68" s="16" t="n">
        <v>583</v>
      </c>
      <c r="B68" s="16" t="inlineStr">
        <is>
          <t>Pagado</t>
        </is>
      </c>
      <c r="C68" s="16" t="n">
        <v>860002518</v>
      </c>
      <c r="D68" s="16" t="inlineStr">
        <is>
          <t>UNILEVER ANDINA COLOMBIA LTDA</t>
        </is>
      </c>
      <c r="E68" s="16" t="inlineStr">
        <is>
          <t>PMP1270674</t>
        </is>
      </c>
      <c r="F68" s="16" t="inlineStr">
        <is>
          <t>01/09/2025</t>
        </is>
      </c>
      <c r="G68" s="16" t="n">
        <v>5100309164</v>
      </c>
      <c r="H68" s="16" t="inlineStr">
        <is>
          <t>Factura Acrededor</t>
        </is>
      </c>
      <c r="I68" s="16" t="inlineStr">
        <is>
          <t>04/08/2025</t>
        </is>
      </c>
      <c r="J68" s="16" t="n">
        <v>0</v>
      </c>
      <c r="K68" s="17" t="n">
        <v>-427499</v>
      </c>
      <c r="L68" s="16" t="inlineStr">
        <is>
          <t>Barranquilla</t>
        </is>
      </c>
      <c r="M68" s="16" t="inlineStr">
        <is>
          <t>UNILEVER ANDINA COLOMBIA LTDA</t>
        </is>
      </c>
      <c r="N68" s="18">
        <f>+H68&amp;" "&amp; E68</f>
        <v/>
      </c>
      <c r="O68" s="18" t="inlineStr">
        <is>
          <t>Cartera</t>
        </is>
      </c>
    </row>
    <row r="69">
      <c r="A69" s="16" t="n">
        <v>586</v>
      </c>
      <c r="B69" s="16" t="inlineStr">
        <is>
          <t>Pagado</t>
        </is>
      </c>
      <c r="C69" s="16" t="n">
        <v>860002518</v>
      </c>
      <c r="D69" s="16" t="inlineStr">
        <is>
          <t>UNILEVER ANDINA COLOMBIA LTDA</t>
        </is>
      </c>
      <c r="E69" s="16" t="inlineStr">
        <is>
          <t>PMP1273114</t>
        </is>
      </c>
      <c r="F69" s="16" t="inlineStr">
        <is>
          <t>03/09/2025</t>
        </is>
      </c>
      <c r="G69" s="16" t="n">
        <v>5100314642</v>
      </c>
      <c r="H69" s="16" t="inlineStr">
        <is>
          <t>Factura Acrededor</t>
        </is>
      </c>
      <c r="I69" s="16" t="inlineStr">
        <is>
          <t>12/08/2025</t>
        </is>
      </c>
      <c r="J69" s="16" t="n">
        <v>0</v>
      </c>
      <c r="K69" s="17" t="n">
        <v>-1637235</v>
      </c>
      <c r="M69" s="16" t="inlineStr">
        <is>
          <t>UNILEVER ANDINA COLOMBIA LTDA</t>
        </is>
      </c>
      <c r="N69" s="18">
        <f>+H69&amp;" "&amp; E69</f>
        <v/>
      </c>
      <c r="O69" s="18" t="inlineStr">
        <is>
          <t>Cartera</t>
        </is>
      </c>
    </row>
    <row r="70">
      <c r="A70" s="16" t="n">
        <v>587</v>
      </c>
      <c r="B70" s="16" t="inlineStr">
        <is>
          <t>Pagado</t>
        </is>
      </c>
      <c r="C70" s="16" t="n">
        <v>860002518</v>
      </c>
      <c r="D70" s="16" t="inlineStr">
        <is>
          <t>UNILEVER ANDINA COLOMBIA LTDA</t>
        </is>
      </c>
      <c r="E70" s="16" t="inlineStr">
        <is>
          <t>PMP1273877</t>
        </is>
      </c>
      <c r="F70" s="16" t="inlineStr">
        <is>
          <t>03/09/2025</t>
        </is>
      </c>
      <c r="G70" s="16" t="n">
        <v>5100316735</v>
      </c>
      <c r="H70" s="16" t="inlineStr">
        <is>
          <t>Factura Acrededor</t>
        </is>
      </c>
      <c r="I70" s="16" t="inlineStr">
        <is>
          <t>13/08/2025</t>
        </is>
      </c>
      <c r="J70" s="16" t="n">
        <v>0</v>
      </c>
      <c r="K70" s="17" t="n">
        <v>-9319221</v>
      </c>
      <c r="L70" s="16" t="inlineStr">
        <is>
          <t>Cota</t>
        </is>
      </c>
      <c r="M70" s="16" t="inlineStr">
        <is>
          <t>UNILEVER ANDINA COLOMBIA LTDA</t>
        </is>
      </c>
      <c r="N70" s="18">
        <f>+H70&amp;" "&amp; E70</f>
        <v/>
      </c>
      <c r="O70" s="18" t="inlineStr">
        <is>
          <t>Cartera</t>
        </is>
      </c>
    </row>
    <row r="71">
      <c r="A71" s="16" t="n">
        <v>588</v>
      </c>
      <c r="B71" s="16" t="inlineStr">
        <is>
          <t>Pagado</t>
        </is>
      </c>
      <c r="C71" s="16" t="n">
        <v>860002518</v>
      </c>
      <c r="D71" s="16" t="inlineStr">
        <is>
          <t>UNILEVER ANDINA COLOMBIA LTDA</t>
        </is>
      </c>
      <c r="E71" s="16" t="inlineStr">
        <is>
          <t>PMP1273875</t>
        </is>
      </c>
      <c r="F71" s="16" t="inlineStr">
        <is>
          <t>03/09/2025</t>
        </is>
      </c>
      <c r="G71" s="16" t="n">
        <v>5100316744</v>
      </c>
      <c r="H71" s="16" t="inlineStr">
        <is>
          <t>Factura Acrededor</t>
        </is>
      </c>
      <c r="I71" s="16" t="inlineStr">
        <is>
          <t>13/08/2025</t>
        </is>
      </c>
      <c r="J71" s="16" t="n">
        <v>0</v>
      </c>
      <c r="K71" s="17" t="n">
        <v>-302837</v>
      </c>
      <c r="L71" s="16" t="inlineStr">
        <is>
          <t>Cota</t>
        </is>
      </c>
      <c r="M71" s="16" t="inlineStr">
        <is>
          <t>UNILEVER ANDINA COLOMBIA LTDA</t>
        </is>
      </c>
      <c r="N71" s="18">
        <f>+H71&amp;" "&amp; E71</f>
        <v/>
      </c>
      <c r="O71" s="18" t="inlineStr">
        <is>
          <t>Cartera</t>
        </is>
      </c>
    </row>
    <row r="72">
      <c r="A72" s="16" t="n">
        <v>589</v>
      </c>
      <c r="B72" s="16" t="inlineStr">
        <is>
          <t>Pagado</t>
        </is>
      </c>
      <c r="C72" s="16" t="n">
        <v>860002518</v>
      </c>
      <c r="D72" s="16" t="inlineStr">
        <is>
          <t>UNILEVER ANDINA COLOMBIA LTDA</t>
        </is>
      </c>
      <c r="E72" s="16" t="inlineStr">
        <is>
          <t>PMP1273592</t>
        </is>
      </c>
      <c r="F72" s="16" t="inlineStr">
        <is>
          <t>04/09/2025</t>
        </is>
      </c>
      <c r="G72" s="16" t="n">
        <v>5100317248</v>
      </c>
      <c r="H72" s="16" t="inlineStr">
        <is>
          <t>Factura Acrededor</t>
        </is>
      </c>
      <c r="I72" s="16" t="inlineStr">
        <is>
          <t>13/08/2025</t>
        </is>
      </c>
      <c r="J72" s="16" t="n">
        <v>0</v>
      </c>
      <c r="K72" s="17" t="n">
        <v>-1903999</v>
      </c>
      <c r="L72" s="16" t="inlineStr">
        <is>
          <t>Palmira</t>
        </is>
      </c>
      <c r="M72" s="16" t="inlineStr">
        <is>
          <t>UNILEVER ANDINA COLOMBIA LTDA</t>
        </is>
      </c>
      <c r="N72" s="18">
        <f>+H72&amp;" "&amp; E72</f>
        <v/>
      </c>
      <c r="O72" s="18" t="inlineStr">
        <is>
          <t>Cartera</t>
        </is>
      </c>
    </row>
    <row r="73">
      <c r="A73" s="16" t="n">
        <v>590</v>
      </c>
      <c r="B73" s="16" t="inlineStr">
        <is>
          <t>Pagado</t>
        </is>
      </c>
      <c r="C73" s="16" t="n">
        <v>860002518</v>
      </c>
      <c r="D73" s="16" t="inlineStr">
        <is>
          <t>UNILEVER ANDINA COLOMBIA LTDA</t>
        </is>
      </c>
      <c r="E73" s="16" t="inlineStr">
        <is>
          <t>PMP1273861</t>
        </is>
      </c>
      <c r="F73" s="16" t="inlineStr">
        <is>
          <t>05/09/2025</t>
        </is>
      </c>
      <c r="G73" s="16" t="n">
        <v>5100318613</v>
      </c>
      <c r="H73" s="16" t="inlineStr">
        <is>
          <t>Factura Acrededor</t>
        </is>
      </c>
      <c r="I73" s="16" t="inlineStr">
        <is>
          <t>13/08/2025</t>
        </is>
      </c>
      <c r="J73" s="16" t="n">
        <v>0</v>
      </c>
      <c r="K73" s="17" t="n">
        <v>-2499993</v>
      </c>
      <c r="L73" s="16" t="inlineStr">
        <is>
          <t>Cerritos</t>
        </is>
      </c>
      <c r="N73" s="18">
        <f>+H73&amp;" "&amp; E73</f>
        <v/>
      </c>
      <c r="O73" s="18" t="inlineStr">
        <is>
          <t>Cartera</t>
        </is>
      </c>
    </row>
    <row r="74">
      <c r="A74" s="16" t="n">
        <v>591</v>
      </c>
      <c r="B74" s="16" t="inlineStr">
        <is>
          <t>Pagado</t>
        </is>
      </c>
      <c r="C74" s="16" t="n">
        <v>860002518</v>
      </c>
      <c r="D74" s="16" t="inlineStr">
        <is>
          <t>UNILEVER ANDINA COLOMBIA LTDA</t>
        </is>
      </c>
      <c r="E74" s="16" t="inlineStr">
        <is>
          <t>PMP1274138</t>
        </is>
      </c>
      <c r="F74" s="16" t="inlineStr">
        <is>
          <t>08/09/2025</t>
        </is>
      </c>
      <c r="G74" s="16" t="n">
        <v>5100321173</v>
      </c>
      <c r="H74" s="16" t="inlineStr">
        <is>
          <t>Factura Acrededor</t>
        </is>
      </c>
      <c r="I74" s="16" t="inlineStr">
        <is>
          <t>11/08/2025</t>
        </is>
      </c>
      <c r="J74" s="16" t="n">
        <v>0</v>
      </c>
      <c r="K74" s="17" t="n">
        <v>-142499</v>
      </c>
      <c r="L74" s="16" t="inlineStr">
        <is>
          <t>Bucaramanga ZF</t>
        </is>
      </c>
      <c r="M74" s="16" t="inlineStr">
        <is>
          <t>UNILEVER ANDINA COLOMBIA LTDA</t>
        </is>
      </c>
      <c r="N74" s="18">
        <f>+H74&amp;" "&amp; E74</f>
        <v/>
      </c>
      <c r="O74" s="18" t="inlineStr">
        <is>
          <t>Cartera</t>
        </is>
      </c>
    </row>
    <row r="75">
      <c r="A75" s="16" t="n">
        <v>592</v>
      </c>
      <c r="B75" s="16" t="inlineStr">
        <is>
          <t>Pagado</t>
        </is>
      </c>
      <c r="C75" s="16" t="n">
        <v>860002518</v>
      </c>
      <c r="D75" s="16" t="inlineStr">
        <is>
          <t>UNILEVER ANDINA COLOMBIA LTDA</t>
        </is>
      </c>
      <c r="E75" s="16" t="inlineStr">
        <is>
          <t>PMP1274137</t>
        </is>
      </c>
      <c r="F75" s="16" t="inlineStr">
        <is>
          <t>08/09/2025</t>
        </is>
      </c>
      <c r="G75" s="16" t="n">
        <v>5100321175</v>
      </c>
      <c r="H75" s="16" t="inlineStr">
        <is>
          <t>Factura Acrededor</t>
        </is>
      </c>
      <c r="I75" s="16" t="inlineStr">
        <is>
          <t>11/08/2025</t>
        </is>
      </c>
      <c r="J75" s="16" t="n">
        <v>0</v>
      </c>
      <c r="K75" s="17" t="n">
        <v>-729379</v>
      </c>
      <c r="L75" s="16" t="inlineStr">
        <is>
          <t>Bucaramanga ZF</t>
        </is>
      </c>
      <c r="M75" s="16" t="inlineStr">
        <is>
          <t>UNILEVER ANDINA COLOMBIA LTDA</t>
        </is>
      </c>
      <c r="N75" s="18">
        <f>+H75&amp;" "&amp; E75</f>
        <v/>
      </c>
      <c r="O75" s="18" t="inlineStr">
        <is>
          <t>Cartera</t>
        </is>
      </c>
    </row>
    <row r="76">
      <c r="A76" s="16" t="n">
        <v>594</v>
      </c>
      <c r="B76" s="16" t="inlineStr">
        <is>
          <t>Pagado</t>
        </is>
      </c>
      <c r="C76" s="16" t="n">
        <v>860002518</v>
      </c>
      <c r="D76" s="16" t="inlineStr">
        <is>
          <t>UNILEVER ANDINA COLOMBIA LTDA</t>
        </is>
      </c>
      <c r="E76" s="16" t="inlineStr">
        <is>
          <t>PMP1273386</t>
        </is>
      </c>
      <c r="F76" s="16" t="inlineStr">
        <is>
          <t>08/09/2025</t>
        </is>
      </c>
      <c r="G76" s="16" t="n">
        <v>5100321679</v>
      </c>
      <c r="H76" s="16" t="inlineStr">
        <is>
          <t>Factura Acrededor</t>
        </is>
      </c>
      <c r="I76" s="16" t="inlineStr">
        <is>
          <t>11/08/2025</t>
        </is>
      </c>
      <c r="J76" s="16" t="n">
        <v>0</v>
      </c>
      <c r="K76" s="17" t="n">
        <v>-455311</v>
      </c>
      <c r="L76" s="16" t="inlineStr">
        <is>
          <t>Barranquilla</t>
        </is>
      </c>
      <c r="M76" s="16" t="inlineStr">
        <is>
          <t>UNILEVER ANDINA COLOMBIA LTDA</t>
        </is>
      </c>
      <c r="N76" s="18">
        <f>+H76&amp;" "&amp; E76</f>
        <v/>
      </c>
      <c r="O76" s="18" t="inlineStr">
        <is>
          <t>Cartera</t>
        </is>
      </c>
    </row>
    <row r="77">
      <c r="A77" s="16" t="n">
        <v>595</v>
      </c>
      <c r="B77" s="16" t="inlineStr">
        <is>
          <t>Pagado</t>
        </is>
      </c>
      <c r="C77" s="16" t="n">
        <v>860002518</v>
      </c>
      <c r="D77" s="16" t="inlineStr">
        <is>
          <t>UNILEVER ANDINA COLOMBIA LTDA</t>
        </is>
      </c>
      <c r="E77" s="16" t="inlineStr">
        <is>
          <t>PMP1273385</t>
        </is>
      </c>
      <c r="F77" s="16" t="inlineStr">
        <is>
          <t>08/09/2025</t>
        </is>
      </c>
      <c r="G77" s="16" t="n">
        <v>5100321680</v>
      </c>
      <c r="H77" s="16" t="inlineStr">
        <is>
          <t>Factura Acrededor</t>
        </is>
      </c>
      <c r="I77" s="16" t="inlineStr">
        <is>
          <t>11/08/2025</t>
        </is>
      </c>
      <c r="J77" s="16" t="n">
        <v>0</v>
      </c>
      <c r="K77" s="17" t="n">
        <v>-5374577</v>
      </c>
      <c r="L77" s="16" t="inlineStr">
        <is>
          <t>Barranquilla</t>
        </is>
      </c>
      <c r="M77" s="16" t="inlineStr">
        <is>
          <t>UNILEVER ANDINA COLOMBIA LTDA</t>
        </is>
      </c>
      <c r="N77" s="18">
        <f>+H77&amp;" "&amp; E77</f>
        <v/>
      </c>
      <c r="O77" s="18" t="inlineStr">
        <is>
          <t>Cartera</t>
        </is>
      </c>
    </row>
    <row r="78">
      <c r="A78" s="16" t="n">
        <v>603</v>
      </c>
      <c r="B78" s="16" t="inlineStr">
        <is>
          <t>Pagado</t>
        </is>
      </c>
      <c r="C78" s="16" t="n">
        <v>860002518</v>
      </c>
      <c r="D78" s="16" t="inlineStr">
        <is>
          <t>UNILEVER ANDINA COLOMBIA LTDA</t>
        </is>
      </c>
      <c r="E78" s="16" t="inlineStr">
        <is>
          <t>PMP1277204</t>
        </is>
      </c>
      <c r="F78" s="16" t="inlineStr">
        <is>
          <t>11/09/2025</t>
        </is>
      </c>
      <c r="G78" s="16" t="n">
        <v>5100330715</v>
      </c>
      <c r="H78" s="16" t="inlineStr">
        <is>
          <t>Factura Acrededor</t>
        </is>
      </c>
      <c r="I78" s="16" t="inlineStr">
        <is>
          <t>22/08/2025</t>
        </is>
      </c>
      <c r="J78" s="16" t="n">
        <v>0</v>
      </c>
      <c r="K78" s="17" t="n">
        <v>-18507728</v>
      </c>
      <c r="L78" s="16" t="inlineStr">
        <is>
          <t>Palmira</t>
        </is>
      </c>
      <c r="M78" s="16" t="inlineStr">
        <is>
          <t>UNILEVER ANDINA COLOMBIA LTDA</t>
        </is>
      </c>
      <c r="N78" s="18">
        <f>+H78&amp;" "&amp; E78</f>
        <v/>
      </c>
      <c r="O78" s="18" t="inlineStr">
        <is>
          <t>Cartera</t>
        </is>
      </c>
    </row>
    <row r="79">
      <c r="A79" s="16" t="n">
        <v>604</v>
      </c>
      <c r="B79" s="16" t="inlineStr">
        <is>
          <t>Pagado</t>
        </is>
      </c>
      <c r="C79" s="16" t="n">
        <v>860002518</v>
      </c>
      <c r="D79" s="16" t="inlineStr">
        <is>
          <t>UNILEVER ANDINA COLOMBIA LTDA</t>
        </is>
      </c>
      <c r="E79" s="16" t="inlineStr">
        <is>
          <t>PMP1277204</t>
        </is>
      </c>
      <c r="F79" s="16" t="inlineStr">
        <is>
          <t>11/09/2025</t>
        </is>
      </c>
      <c r="G79" s="16" t="n">
        <v>5100330716</v>
      </c>
      <c r="H79" s="16" t="inlineStr">
        <is>
          <t>Reduc Factura Compra</t>
        </is>
      </c>
      <c r="I79" s="16" t="inlineStr">
        <is>
          <t>22/08/2025</t>
        </is>
      </c>
      <c r="J79" s="16" t="n">
        <v>0</v>
      </c>
      <c r="K79" s="17" t="n">
        <v>155502</v>
      </c>
      <c r="L79" s="16" t="inlineStr">
        <is>
          <t>Palmira</t>
        </is>
      </c>
      <c r="M79" s="16" t="inlineStr">
        <is>
          <t>UNILEVER ANDINA COLOMBIA LTDA</t>
        </is>
      </c>
      <c r="N79" s="18">
        <f>+H79&amp;" "&amp;E79</f>
        <v/>
      </c>
      <c r="O79" s="18" t="inlineStr">
        <is>
          <t>Ventas</t>
        </is>
      </c>
    </row>
    <row r="80">
      <c r="A80" s="16" t="n">
        <v>605</v>
      </c>
      <c r="B80" s="16" t="inlineStr">
        <is>
          <t>Pagado</t>
        </is>
      </c>
      <c r="C80" s="16" t="n">
        <v>860002518</v>
      </c>
      <c r="D80" s="16" t="inlineStr">
        <is>
          <t>UNILEVER ANDINA COLOMBIA LTDA</t>
        </is>
      </c>
      <c r="E80" s="16" t="inlineStr">
        <is>
          <t>PMP1276671</t>
        </is>
      </c>
      <c r="F80" s="16" t="inlineStr">
        <is>
          <t>12/09/2025</t>
        </is>
      </c>
      <c r="G80" s="16" t="n">
        <v>5100335935</v>
      </c>
      <c r="H80" s="16" t="inlineStr">
        <is>
          <t>Factura Acrededor</t>
        </is>
      </c>
      <c r="I80" s="16" t="inlineStr">
        <is>
          <t>20/08/2025</t>
        </is>
      </c>
      <c r="J80" s="16" t="n">
        <v>0</v>
      </c>
      <c r="K80" s="17" t="n">
        <v>-23118825</v>
      </c>
      <c r="L80" s="16" t="inlineStr">
        <is>
          <t>Cerritos</t>
        </is>
      </c>
      <c r="N80" s="18">
        <f>+H80&amp;" "&amp; E80</f>
        <v/>
      </c>
      <c r="O80" s="18" t="inlineStr">
        <is>
          <t>Cartera</t>
        </is>
      </c>
    </row>
    <row r="81">
      <c r="A81" s="16" t="n">
        <v>606</v>
      </c>
      <c r="B81" s="16" t="inlineStr">
        <is>
          <t>Pagado</t>
        </is>
      </c>
      <c r="C81" s="16" t="n">
        <v>860002518</v>
      </c>
      <c r="D81" s="16" t="inlineStr">
        <is>
          <t>UNILEVER ANDINA COLOMBIA LTDA</t>
        </is>
      </c>
      <c r="E81" s="16" t="inlineStr">
        <is>
          <t>PMP1276671</t>
        </is>
      </c>
      <c r="F81" s="16" t="inlineStr">
        <is>
          <t>12/09/2025</t>
        </is>
      </c>
      <c r="G81" s="16" t="n">
        <v>5100335936</v>
      </c>
      <c r="H81" s="16" t="inlineStr">
        <is>
          <t>Reduc Factura Compra</t>
        </is>
      </c>
      <c r="I81" s="16" t="inlineStr">
        <is>
          <t>20/08/2025</t>
        </is>
      </c>
      <c r="J81" s="16" t="n">
        <v>0</v>
      </c>
      <c r="K81" s="17" t="n">
        <v>128471</v>
      </c>
      <c r="L81" s="16" t="inlineStr">
        <is>
          <t>Cerritos</t>
        </is>
      </c>
      <c r="N81" s="18">
        <f>+H81&amp;" "&amp;E81</f>
        <v/>
      </c>
      <c r="O81" s="18" t="inlineStr">
        <is>
          <t>Ventas</t>
        </is>
      </c>
    </row>
    <row r="82">
      <c r="A82" s="16" t="n">
        <v>608</v>
      </c>
      <c r="B82" s="16" t="inlineStr">
        <is>
          <t>Pagado</t>
        </is>
      </c>
      <c r="C82" s="16" t="n">
        <v>860002518</v>
      </c>
      <c r="D82" s="16" t="inlineStr">
        <is>
          <t>UNILEVER ANDINA COLOMBIA LTDA</t>
        </is>
      </c>
      <c r="E82" s="16" t="inlineStr">
        <is>
          <t>PMP1277141</t>
        </is>
      </c>
      <c r="F82" s="16" t="inlineStr">
        <is>
          <t>10/09/2025</t>
        </is>
      </c>
      <c r="G82" s="16" t="n">
        <v>5100337364</v>
      </c>
      <c r="H82" s="16" t="inlineStr">
        <is>
          <t>Factura Acrededor</t>
        </is>
      </c>
      <c r="I82" s="16" t="inlineStr">
        <is>
          <t>21/08/2025</t>
        </is>
      </c>
      <c r="J82" s="16" t="n">
        <v>0</v>
      </c>
      <c r="K82" s="17" t="n">
        <v>-170311</v>
      </c>
      <c r="L82" s="16" t="inlineStr">
        <is>
          <t>Cota</t>
        </is>
      </c>
      <c r="M82" s="16" t="inlineStr">
        <is>
          <t>UNILEVER ANDINA COLOMBIA LTDA</t>
        </is>
      </c>
      <c r="N82" s="18">
        <f>+H82&amp;" "&amp; E82</f>
        <v/>
      </c>
      <c r="O82" s="18" t="inlineStr">
        <is>
          <t>Cartera</t>
        </is>
      </c>
    </row>
    <row r="83">
      <c r="A83" s="16" t="n">
        <v>609</v>
      </c>
      <c r="B83" s="16" t="inlineStr">
        <is>
          <t>Pagado</t>
        </is>
      </c>
      <c r="C83" s="16" t="n">
        <v>860002518</v>
      </c>
      <c r="D83" s="16" t="inlineStr">
        <is>
          <t>UNILEVER ANDINA COLOMBIA LTDA</t>
        </is>
      </c>
      <c r="E83" s="16" t="inlineStr">
        <is>
          <t>PMP1277137</t>
        </is>
      </c>
      <c r="F83" s="16" t="inlineStr">
        <is>
          <t>12/09/2025</t>
        </is>
      </c>
      <c r="G83" s="16" t="n">
        <v>5100337263</v>
      </c>
      <c r="H83" s="16" t="inlineStr">
        <is>
          <t>Reduc Factura Compra</t>
        </is>
      </c>
      <c r="I83" s="16" t="inlineStr">
        <is>
          <t>21/08/2025</t>
        </is>
      </c>
      <c r="J83" s="16" t="n">
        <v>0</v>
      </c>
      <c r="K83" s="17" t="n">
        <v>973783</v>
      </c>
      <c r="L83" s="16" t="inlineStr">
        <is>
          <t>Cota</t>
        </is>
      </c>
      <c r="M83" s="16" t="inlineStr">
        <is>
          <t>UNILEVER ANDINA COLOMBIA LTDA/conciliacion</t>
        </is>
      </c>
      <c r="N83" s="18">
        <f>+H83&amp;" "&amp;E83</f>
        <v/>
      </c>
      <c r="O83" s="18" t="inlineStr">
        <is>
          <t>Ventas</t>
        </is>
      </c>
    </row>
    <row r="84">
      <c r="A84" s="16" t="n">
        <v>610</v>
      </c>
      <c r="B84" s="16" t="inlineStr">
        <is>
          <t>Pagado</t>
        </is>
      </c>
      <c r="C84" s="16" t="n">
        <v>860002518</v>
      </c>
      <c r="D84" s="16" t="inlineStr">
        <is>
          <t>UNILEVER ANDINA COLOMBIA LTDA</t>
        </is>
      </c>
      <c r="E84" s="16" t="inlineStr">
        <is>
          <t>PMP1276991</t>
        </is>
      </c>
      <c r="F84" s="16" t="inlineStr">
        <is>
          <t>12/09/2025</t>
        </is>
      </c>
      <c r="G84" s="16" t="n">
        <v>5100337491</v>
      </c>
      <c r="H84" s="16" t="inlineStr">
        <is>
          <t>Factura Acrededor</t>
        </is>
      </c>
      <c r="I84" s="16" t="inlineStr">
        <is>
          <t>21/08/2025</t>
        </is>
      </c>
      <c r="J84" s="16" t="n">
        <v>0</v>
      </c>
      <c r="K84" s="17" t="n">
        <v>-21513304</v>
      </c>
      <c r="M84" s="16" t="inlineStr">
        <is>
          <t>UNILEVER ANDINA COLOMBIA LTDA/conciliacion</t>
        </is>
      </c>
      <c r="N84" s="18">
        <f>+H84&amp;" "&amp; E84</f>
        <v/>
      </c>
      <c r="O84" s="18" t="inlineStr">
        <is>
          <t>Cartera</t>
        </is>
      </c>
    </row>
    <row r="85">
      <c r="A85" s="16" t="n">
        <v>611</v>
      </c>
      <c r="B85" s="16" t="inlineStr">
        <is>
          <t>Pagado</t>
        </is>
      </c>
      <c r="C85" s="16" t="n">
        <v>860002518</v>
      </c>
      <c r="D85" s="16" t="inlineStr">
        <is>
          <t>UNILEVER ANDINA COLOMBIA LTDA</t>
        </is>
      </c>
      <c r="E85" s="16" t="inlineStr">
        <is>
          <t>PMP1277137</t>
        </is>
      </c>
      <c r="F85" s="16" t="inlineStr">
        <is>
          <t>12/09/2025</t>
        </is>
      </c>
      <c r="G85" s="16" t="n">
        <v>5100337262</v>
      </c>
      <c r="H85" s="16" t="inlineStr">
        <is>
          <t>Factura Acrededor</t>
        </is>
      </c>
      <c r="I85" s="16" t="inlineStr">
        <is>
          <t>21/08/2025</t>
        </is>
      </c>
      <c r="J85" s="16" t="n">
        <v>0</v>
      </c>
      <c r="K85" s="17" t="n">
        <v>-111539485</v>
      </c>
      <c r="L85" s="16" t="inlineStr">
        <is>
          <t>Cota</t>
        </is>
      </c>
      <c r="M85" s="16" t="inlineStr">
        <is>
          <t>UNILEVER ANDINA COLOMBIA LTDA/conciliacion</t>
        </is>
      </c>
      <c r="N85" s="18">
        <f>+H85&amp;" "&amp; E85</f>
        <v/>
      </c>
      <c r="O85" s="18" t="inlineStr">
        <is>
          <t>Cartera</t>
        </is>
      </c>
    </row>
    <row r="86">
      <c r="A86" s="16" t="n">
        <v>612</v>
      </c>
      <c r="B86" s="16" t="inlineStr">
        <is>
          <t>Pagado</t>
        </is>
      </c>
      <c r="C86" s="16" t="n">
        <v>860002518</v>
      </c>
      <c r="D86" s="16" t="inlineStr">
        <is>
          <t>UNILEVER ANDINA COLOMBIA LTDA</t>
        </is>
      </c>
      <c r="E86" s="16" t="inlineStr">
        <is>
          <t>PMP1276991</t>
        </is>
      </c>
      <c r="F86" s="16" t="inlineStr">
        <is>
          <t>12/09/2025</t>
        </is>
      </c>
      <c r="G86" s="16" t="n">
        <v>5100337492</v>
      </c>
      <c r="H86" s="16" t="inlineStr">
        <is>
          <t>Reduc Factura Compra</t>
        </is>
      </c>
      <c r="I86" s="16" t="inlineStr">
        <is>
          <t>21/08/2025</t>
        </is>
      </c>
      <c r="J86" s="16" t="n">
        <v>0</v>
      </c>
      <c r="K86" s="17" t="n">
        <v>375295</v>
      </c>
      <c r="M86" s="16" t="inlineStr">
        <is>
          <t>UNILEVER ANDINA COLOMBIA LTDA/conciliacion</t>
        </is>
      </c>
      <c r="N86" s="18">
        <f>+H86&amp;" "&amp;E86</f>
        <v/>
      </c>
      <c r="O86" s="18" t="inlineStr">
        <is>
          <t>Ventas</t>
        </is>
      </c>
    </row>
    <row r="87">
      <c r="A87" s="16" t="n">
        <v>619</v>
      </c>
      <c r="B87" s="16" t="inlineStr">
        <is>
          <t>Pagado</t>
        </is>
      </c>
      <c r="C87" s="16" t="n">
        <v>860002518</v>
      </c>
      <c r="D87" s="16" t="inlineStr">
        <is>
          <t>UNILEVER ANDINA COLOMBIA LTDA</t>
        </is>
      </c>
      <c r="E87" s="16" t="inlineStr">
        <is>
          <t>PMP-1276954</t>
        </is>
      </c>
      <c r="F87" s="16" t="inlineStr">
        <is>
          <t>16/09/2025</t>
        </is>
      </c>
      <c r="G87" s="16" t="n">
        <v>5100339769</v>
      </c>
      <c r="H87" s="16" t="inlineStr">
        <is>
          <t>Reduc Factura Compra</t>
        </is>
      </c>
      <c r="I87" s="16" t="inlineStr">
        <is>
          <t>21/08/2025</t>
        </is>
      </c>
      <c r="J87" s="16" t="n">
        <v>0</v>
      </c>
      <c r="K87" s="17" t="n">
        <v>46962</v>
      </c>
      <c r="L87" s="16" t="inlineStr">
        <is>
          <t>Bucaramanga ZF</t>
        </is>
      </c>
      <c r="M87" s="16" t="inlineStr">
        <is>
          <t>UNILEVER ANDINA COLOMBIA LTDA/CONCILIACION</t>
        </is>
      </c>
      <c r="N87" s="18">
        <f>+H87&amp;" "&amp;E87</f>
        <v/>
      </c>
      <c r="O87" s="18" t="inlineStr">
        <is>
          <t>Ventas</t>
        </is>
      </c>
    </row>
    <row r="88">
      <c r="A88" s="16" t="n">
        <v>620</v>
      </c>
      <c r="B88" s="16" t="inlineStr">
        <is>
          <t>Pagado</t>
        </is>
      </c>
      <c r="C88" s="16" t="n">
        <v>860002518</v>
      </c>
      <c r="D88" s="16" t="inlineStr">
        <is>
          <t>UNILEVER ANDINA COLOMBIA LTDA</t>
        </is>
      </c>
      <c r="E88" s="16" t="inlineStr">
        <is>
          <t>PMP-1276954</t>
        </is>
      </c>
      <c r="F88" s="16" t="inlineStr">
        <is>
          <t>16/09/2025</t>
        </is>
      </c>
      <c r="G88" s="16" t="n">
        <v>5100339768</v>
      </c>
      <c r="H88" s="16" t="inlineStr">
        <is>
          <t>Factura Acrededor</t>
        </is>
      </c>
      <c r="I88" s="16" t="inlineStr">
        <is>
          <t>21/08/2025</t>
        </is>
      </c>
      <c r="J88" s="16" t="n">
        <v>0</v>
      </c>
      <c r="K88" s="17" t="n">
        <v>-9876168</v>
      </c>
      <c r="L88" s="16" t="inlineStr">
        <is>
          <t>Bucaramanga ZF</t>
        </is>
      </c>
      <c r="M88" s="16" t="inlineStr">
        <is>
          <t>UNILEVER ANDINA COLOMBIA LTDA/CONCILIACION</t>
        </is>
      </c>
      <c r="N88" s="18">
        <f>+H88&amp;" "&amp; E88</f>
        <v/>
      </c>
      <c r="O88" s="18" t="inlineStr">
        <is>
          <t>Cartera</t>
        </is>
      </c>
    </row>
    <row r="89">
      <c r="A89" s="16" t="n">
        <v>621</v>
      </c>
      <c r="B89" s="16" t="inlineStr">
        <is>
          <t>Pagado</t>
        </is>
      </c>
      <c r="C89" s="16" t="n">
        <v>860002518</v>
      </c>
      <c r="D89" s="16" t="inlineStr">
        <is>
          <t>UNILEVER ANDINA COLOMBIA LTDA</t>
        </is>
      </c>
      <c r="E89" s="16" t="inlineStr">
        <is>
          <t>PMP1276955</t>
        </is>
      </c>
      <c r="F89" s="16" t="inlineStr">
        <is>
          <t>16/09/2025</t>
        </is>
      </c>
      <c r="G89" s="16" t="n">
        <v>5100339548</v>
      </c>
      <c r="H89" s="16" t="inlineStr">
        <is>
          <t>Factura Acrededor</t>
        </is>
      </c>
      <c r="I89" s="16" t="inlineStr">
        <is>
          <t>21/08/2025</t>
        </is>
      </c>
      <c r="J89" s="16" t="n">
        <v>0</v>
      </c>
      <c r="K89" s="17" t="n">
        <v>-570000</v>
      </c>
      <c r="L89" s="16" t="inlineStr">
        <is>
          <t>Bucaramanga ZF</t>
        </is>
      </c>
      <c r="M89" s="16" t="inlineStr">
        <is>
          <t>UNILEVER ANDINA COLOMBIA LTDA</t>
        </is>
      </c>
      <c r="N89" s="18">
        <f>+H89&amp;" "&amp; E89</f>
        <v/>
      </c>
      <c r="O89" s="18" t="inlineStr">
        <is>
          <t>Cartera</t>
        </is>
      </c>
    </row>
    <row r="90">
      <c r="A90" s="16" t="n">
        <v>624</v>
      </c>
      <c r="B90" s="16" t="inlineStr">
        <is>
          <t>Pagado</t>
        </is>
      </c>
      <c r="C90" s="16" t="n">
        <v>860002518</v>
      </c>
      <c r="D90" s="16" t="inlineStr">
        <is>
          <t>UNILEVER ANDINA COLOMBIA LTDA</t>
        </is>
      </c>
      <c r="E90" s="16" t="inlineStr">
        <is>
          <t>PMP1277186</t>
        </is>
      </c>
      <c r="F90" s="16" t="inlineStr">
        <is>
          <t>17/09/2025</t>
        </is>
      </c>
      <c r="G90" s="16" t="n">
        <v>5100342122</v>
      </c>
      <c r="H90" s="16" t="inlineStr">
        <is>
          <t>Reduc Factura Compra</t>
        </is>
      </c>
      <c r="I90" s="16" t="inlineStr">
        <is>
          <t>22/08/2025</t>
        </is>
      </c>
      <c r="J90" s="16" t="n">
        <v>0</v>
      </c>
      <c r="K90" s="17" t="n">
        <v>55591</v>
      </c>
      <c r="L90" s="16" t="inlineStr">
        <is>
          <t>Barranquilla</t>
        </is>
      </c>
      <c r="M90" s="16" t="inlineStr">
        <is>
          <t>UNILEVER ANDINA COLOMBIA LTDA</t>
        </is>
      </c>
      <c r="N90" s="18">
        <f>+H90&amp;" "&amp;E90</f>
        <v/>
      </c>
      <c r="O90" s="18" t="inlineStr">
        <is>
          <t>Ventas</t>
        </is>
      </c>
    </row>
    <row r="91">
      <c r="A91" s="16" t="n">
        <v>625</v>
      </c>
      <c r="B91" s="16" t="inlineStr">
        <is>
          <t>Pagado</t>
        </is>
      </c>
      <c r="C91" s="16" t="n">
        <v>860002518</v>
      </c>
      <c r="D91" s="16" t="inlineStr">
        <is>
          <t>UNILEVER ANDINA COLOMBIA LTDA</t>
        </is>
      </c>
      <c r="E91" s="16" t="inlineStr">
        <is>
          <t>PMP1277186</t>
        </is>
      </c>
      <c r="F91" s="16" t="inlineStr">
        <is>
          <t>17/09/2025</t>
        </is>
      </c>
      <c r="G91" s="16" t="n">
        <v>5100342121</v>
      </c>
      <c r="H91" s="16" t="inlineStr">
        <is>
          <t>Factura Acrededor</t>
        </is>
      </c>
      <c r="I91" s="16" t="inlineStr">
        <is>
          <t>22/08/2025</t>
        </is>
      </c>
      <c r="J91" s="16" t="n">
        <v>0</v>
      </c>
      <c r="K91" s="17" t="n">
        <v>-9856433</v>
      </c>
      <c r="L91" s="16" t="inlineStr">
        <is>
          <t>Barranquilla</t>
        </is>
      </c>
      <c r="M91" s="16" t="inlineStr">
        <is>
          <t>UNILEVER ANDINA COLOMBIA LTDA</t>
        </is>
      </c>
      <c r="N91" s="18">
        <f>+H91&amp;" "&amp; E91</f>
        <v/>
      </c>
      <c r="O91" s="18" t="inlineStr">
        <is>
          <t>Cartera</t>
        </is>
      </c>
    </row>
    <row r="92">
      <c r="A92" s="16" t="n">
        <v>626</v>
      </c>
      <c r="B92" s="16" t="inlineStr">
        <is>
          <t>Pagado</t>
        </is>
      </c>
      <c r="C92" s="16" t="n">
        <v>860002518</v>
      </c>
      <c r="D92" s="16" t="inlineStr">
        <is>
          <t>UNILEVER ANDINA COLOMBIA LTDA</t>
        </is>
      </c>
      <c r="E92" s="16" t="inlineStr">
        <is>
          <t>PMP1279350</t>
        </is>
      </c>
      <c r="F92" s="16" t="inlineStr">
        <is>
          <t>17/09/2025</t>
        </is>
      </c>
      <c r="G92" s="16" t="n">
        <v>5100341354</v>
      </c>
      <c r="H92" s="16" t="inlineStr">
        <is>
          <t>Reduc Factura Compra</t>
        </is>
      </c>
      <c r="I92" s="16" t="inlineStr">
        <is>
          <t>26/08/2025</t>
        </is>
      </c>
      <c r="J92" s="16" t="n">
        <v>0</v>
      </c>
      <c r="K92" s="17" t="n">
        <v>34678</v>
      </c>
      <c r="M92" s="16" t="inlineStr">
        <is>
          <t>UNILEVER ANDINA COLOMBIA LTDA/CONCILIAICION</t>
        </is>
      </c>
      <c r="N92" s="18">
        <f>+H92&amp;" "&amp;E92</f>
        <v/>
      </c>
      <c r="O92" s="18" t="inlineStr">
        <is>
          <t>Ventas</t>
        </is>
      </c>
    </row>
    <row r="93">
      <c r="A93" s="16" t="n">
        <v>627</v>
      </c>
      <c r="B93" s="16" t="inlineStr">
        <is>
          <t>Pagado</t>
        </is>
      </c>
      <c r="C93" s="16" t="n">
        <v>860002518</v>
      </c>
      <c r="D93" s="16" t="inlineStr">
        <is>
          <t>UNILEVER ANDINA COLOMBIA LTDA</t>
        </is>
      </c>
      <c r="E93" s="16" t="inlineStr">
        <is>
          <t>PMP1279350</t>
        </is>
      </c>
      <c r="F93" s="16" t="inlineStr">
        <is>
          <t>17/09/2025</t>
        </is>
      </c>
      <c r="G93" s="16" t="n">
        <v>5100341353</v>
      </c>
      <c r="H93" s="16" t="inlineStr">
        <is>
          <t>Factura Acrededor</t>
        </is>
      </c>
      <c r="I93" s="16" t="inlineStr">
        <is>
          <t>26/08/2025</t>
        </is>
      </c>
      <c r="J93" s="16" t="n">
        <v>0</v>
      </c>
      <c r="K93" s="17" t="n">
        <v>-6509734</v>
      </c>
      <c r="M93" s="16" t="inlineStr">
        <is>
          <t>UNILEVER ANDINA COLOMBIA LTDA/CONCILIAICION</t>
        </is>
      </c>
      <c r="N93" s="18">
        <f>+H93&amp;" "&amp; E93</f>
        <v/>
      </c>
      <c r="O93" s="18" t="inlineStr">
        <is>
          <t>Cartera</t>
        </is>
      </c>
    </row>
    <row r="94">
      <c r="A94" s="16" t="n">
        <v>629</v>
      </c>
      <c r="B94" s="16" t="inlineStr">
        <is>
          <t>Pagado</t>
        </is>
      </c>
      <c r="C94" s="16" t="n">
        <v>860002518</v>
      </c>
      <c r="D94" s="16" t="inlineStr">
        <is>
          <t>UNILEVER ANDINA COLOMBIA LTDA</t>
        </is>
      </c>
      <c r="F94" s="16" t="inlineStr">
        <is>
          <t>03/09/2025</t>
        </is>
      </c>
      <c r="G94" s="16" t="n">
        <v>1700026652</v>
      </c>
      <c r="H94" s="16" t="inlineStr">
        <is>
          <t>Nota</t>
        </is>
      </c>
      <c r="I94" s="16" t="inlineStr">
        <is>
          <t>01/09/2025</t>
        </is>
      </c>
      <c r="J94" s="16" t="n">
        <v>0</v>
      </c>
      <c r="K94" s="17" t="n">
        <v>92870144</v>
      </c>
      <c r="L94" s="16" t="inlineStr">
        <is>
          <t>Cota</t>
        </is>
      </c>
      <c r="M94" s="16" t="inlineStr">
        <is>
          <t>PSE PLAN SEMANAS EXPLOSIVAS 11-16 AGO 2025</t>
        </is>
      </c>
      <c r="N94" s="18">
        <f>+M94</f>
        <v/>
      </c>
      <c r="O94" s="18" t="inlineStr">
        <is>
          <t>Ventas</t>
        </is>
      </c>
    </row>
    <row r="95">
      <c r="A95" s="16" t="n">
        <v>630</v>
      </c>
      <c r="B95" s="16" t="inlineStr">
        <is>
          <t>Pagado</t>
        </is>
      </c>
      <c r="C95" s="16" t="n">
        <v>860002518</v>
      </c>
      <c r="D95" s="16" t="inlineStr">
        <is>
          <t>UNILEVER ANDINA COLOMBIA LTDA</t>
        </is>
      </c>
      <c r="E95" s="16" t="n">
        <v>5009060496</v>
      </c>
      <c r="F95" s="16" t="inlineStr">
        <is>
          <t>03/09/2025</t>
        </is>
      </c>
      <c r="G95" s="16" t="n">
        <v>5100346786</v>
      </c>
      <c r="H95" s="16" t="inlineStr">
        <is>
          <t>Devolucion</t>
        </is>
      </c>
      <c r="I95" s="16" t="inlineStr">
        <is>
          <t>01/09/2025</t>
        </is>
      </c>
      <c r="J95" s="16" t="n">
        <v>0</v>
      </c>
      <c r="K95" s="17" t="n">
        <v>258304</v>
      </c>
      <c r="L95" s="16" t="inlineStr">
        <is>
          <t>Cota</t>
        </is>
      </c>
      <c r="N95" s="18">
        <f>_xlfn.CONCAT(H95 &amp;" "&amp; E95)</f>
        <v/>
      </c>
      <c r="O95" s="18" t="inlineStr">
        <is>
          <t>AVERIAS</t>
        </is>
      </c>
    </row>
    <row r="96">
      <c r="A96" s="16" t="n">
        <v>631</v>
      </c>
      <c r="B96" s="16" t="inlineStr">
        <is>
          <t>Pagado</t>
        </is>
      </c>
      <c r="C96" s="16" t="n">
        <v>860002518</v>
      </c>
      <c r="D96" s="16" t="inlineStr">
        <is>
          <t>UNILEVER ANDINA COLOMBIA LTDA</t>
        </is>
      </c>
      <c r="E96" s="16" t="n">
        <v>5009060494</v>
      </c>
      <c r="F96" s="16" t="inlineStr">
        <is>
          <t>03/09/2025</t>
        </is>
      </c>
      <c r="G96" s="16" t="n">
        <v>5100346781</v>
      </c>
      <c r="H96" s="16" t="inlineStr">
        <is>
          <t>Devolucion</t>
        </is>
      </c>
      <c r="I96" s="16" t="inlineStr">
        <is>
          <t>01/09/2025</t>
        </is>
      </c>
      <c r="J96" s="16" t="n">
        <v>0</v>
      </c>
      <c r="K96" s="17" t="n">
        <v>177816</v>
      </c>
      <c r="L96" s="16" t="inlineStr">
        <is>
          <t>Cota</t>
        </is>
      </c>
      <c r="N96" s="18">
        <f>_xlfn.CONCAT(H96 &amp;" "&amp; E96)</f>
        <v/>
      </c>
      <c r="O96" s="18" t="inlineStr">
        <is>
          <t>AVERIAS</t>
        </is>
      </c>
    </row>
    <row r="97">
      <c r="A97" s="16" t="n">
        <v>632</v>
      </c>
      <c r="B97" s="16" t="inlineStr">
        <is>
          <t>Pagado</t>
        </is>
      </c>
      <c r="C97" s="16" t="n">
        <v>860002518</v>
      </c>
      <c r="D97" s="16" t="inlineStr">
        <is>
          <t>UNILEVER ANDINA COLOMBIA LTDA</t>
        </is>
      </c>
      <c r="E97" s="16" t="n">
        <v>5009069426</v>
      </c>
      <c r="F97" s="16" t="inlineStr">
        <is>
          <t>03/09/2025</t>
        </is>
      </c>
      <c r="G97" s="16" t="n">
        <v>5100348727</v>
      </c>
      <c r="H97" s="16" t="inlineStr">
        <is>
          <t>Devolucion</t>
        </is>
      </c>
      <c r="I97" s="16" t="inlineStr">
        <is>
          <t>02/09/2025</t>
        </is>
      </c>
      <c r="J97" s="16" t="n">
        <v>0</v>
      </c>
      <c r="K97" s="17" t="n">
        <v>58507</v>
      </c>
      <c r="L97" s="16" t="inlineStr">
        <is>
          <t>Barranquilla</t>
        </is>
      </c>
      <c r="N97" s="18">
        <f>_xlfn.CONCAT(H97 &amp;" "&amp; E97)</f>
        <v/>
      </c>
      <c r="O97" s="18" t="inlineStr">
        <is>
          <t>AVERIAS</t>
        </is>
      </c>
    </row>
    <row r="98">
      <c r="A98" s="16" t="n">
        <v>633</v>
      </c>
      <c r="B98" s="16" t="inlineStr">
        <is>
          <t>Pagado</t>
        </is>
      </c>
      <c r="C98" s="16" t="n">
        <v>860002518</v>
      </c>
      <c r="D98" s="16" t="inlineStr">
        <is>
          <t>UNILEVER ANDINA COLOMBIA LTDA</t>
        </is>
      </c>
      <c r="E98" s="16" t="n">
        <v>5009071347</v>
      </c>
      <c r="F98" s="16" t="inlineStr">
        <is>
          <t>05/09/2025</t>
        </is>
      </c>
      <c r="G98" s="16" t="n">
        <v>5100349336</v>
      </c>
      <c r="H98" s="16" t="inlineStr">
        <is>
          <t>Devolucion</t>
        </is>
      </c>
      <c r="I98" s="16" t="inlineStr">
        <is>
          <t>02/09/2025</t>
        </is>
      </c>
      <c r="J98" s="16" t="n">
        <v>0</v>
      </c>
      <c r="K98" s="17" t="n">
        <v>60243</v>
      </c>
      <c r="L98" s="16" t="inlineStr">
        <is>
          <t>Palmira</t>
        </is>
      </c>
      <c r="N98" s="18">
        <f>_xlfn.CONCAT(H98 &amp;" "&amp; E98)</f>
        <v/>
      </c>
      <c r="O98" s="18" t="inlineStr">
        <is>
          <t>AVERIAS</t>
        </is>
      </c>
    </row>
    <row r="99">
      <c r="A99" s="16" t="n">
        <v>634</v>
      </c>
      <c r="B99" s="16" t="inlineStr">
        <is>
          <t>Pagado</t>
        </is>
      </c>
      <c r="C99" s="16" t="n">
        <v>860002518</v>
      </c>
      <c r="D99" s="16" t="inlineStr">
        <is>
          <t>UNILEVER ANDINA COLOMBIA LTDA</t>
        </is>
      </c>
      <c r="E99" s="16" t="n">
        <v>5009084014</v>
      </c>
      <c r="F99" s="16" t="inlineStr">
        <is>
          <t>05/09/2025</t>
        </is>
      </c>
      <c r="G99" s="16" t="n">
        <v>5100352131</v>
      </c>
      <c r="H99" s="16" t="inlineStr">
        <is>
          <t>Devolucion</t>
        </is>
      </c>
      <c r="I99" s="16" t="inlineStr">
        <is>
          <t>04/09/2025</t>
        </is>
      </c>
      <c r="J99" s="16" t="n">
        <v>0</v>
      </c>
      <c r="K99" s="17" t="n">
        <v>33364</v>
      </c>
      <c r="L99" s="16" t="inlineStr">
        <is>
          <t>Barranquilla</t>
        </is>
      </c>
      <c r="N99" s="18">
        <f>_xlfn.CONCAT(H99 &amp;" "&amp; E99)</f>
        <v/>
      </c>
      <c r="O99" s="18" t="inlineStr">
        <is>
          <t>AVERIAS</t>
        </is>
      </c>
    </row>
    <row r="100">
      <c r="A100" s="16" t="n">
        <v>635</v>
      </c>
      <c r="B100" s="16" t="inlineStr">
        <is>
          <t>Pagado</t>
        </is>
      </c>
      <c r="C100" s="16" t="n">
        <v>860002518</v>
      </c>
      <c r="D100" s="16" t="inlineStr">
        <is>
          <t>UNILEVER ANDINA COLOMBIA LTDA</t>
        </is>
      </c>
      <c r="E100" s="16" t="inlineStr">
        <is>
          <t>NOTA DEVOLUCIÓN</t>
        </is>
      </c>
      <c r="F100" s="16" t="inlineStr">
        <is>
          <t>11/09/2025</t>
        </is>
      </c>
      <c r="G100" s="16" t="n">
        <v>1700027315</v>
      </c>
      <c r="H100" s="16" t="inlineStr">
        <is>
          <t>Nota</t>
        </is>
      </c>
      <c r="I100" s="16" t="inlineStr">
        <is>
          <t>05/09/2025</t>
        </is>
      </c>
      <c r="J100" s="16" t="n">
        <v>0</v>
      </c>
      <c r="K100" s="17" t="n">
        <v>615525</v>
      </c>
      <c r="L100" s="16" t="inlineStr">
        <is>
          <t>Cerritos</t>
        </is>
      </c>
      <c r="M100" s="16" t="inlineStr">
        <is>
          <t>NOTA DEVOLUCIÓN POR DEPURACIÓN INVENTARIO SEP 25</t>
        </is>
      </c>
      <c r="N100" s="18">
        <f>+M100</f>
        <v/>
      </c>
      <c r="O100" s="18" t="inlineStr">
        <is>
          <t>Ventas</t>
        </is>
      </c>
    </row>
    <row r="101">
      <c r="A101" s="16" t="n">
        <v>636</v>
      </c>
      <c r="B101" s="16" t="inlineStr">
        <is>
          <t>Pagado</t>
        </is>
      </c>
      <c r="C101" s="16" t="n">
        <v>860002518</v>
      </c>
      <c r="D101" s="16" t="inlineStr">
        <is>
          <t>UNILEVER ANDINA COLOMBIA LTDA</t>
        </is>
      </c>
      <c r="E101" s="16" t="inlineStr">
        <is>
          <t>NOTA DEVOLUCIÓN</t>
        </is>
      </c>
      <c r="F101" s="16" t="inlineStr">
        <is>
          <t>12/09/2025</t>
        </is>
      </c>
      <c r="G101" s="16" t="n">
        <v>1700028194</v>
      </c>
      <c r="H101" s="16" t="inlineStr">
        <is>
          <t>Nota</t>
        </is>
      </c>
      <c r="I101" s="16" t="inlineStr">
        <is>
          <t>05/09/2025</t>
        </is>
      </c>
      <c r="J101" s="16" t="n">
        <v>0</v>
      </c>
      <c r="K101" s="17" t="n">
        <v>28813</v>
      </c>
      <c r="M101" s="16" t="inlineStr">
        <is>
          <t>NOTA DEVOLUCIÓN POR DEPURACIÓN INVENTARIO SEP 25</t>
        </is>
      </c>
      <c r="N101" s="18">
        <f>+M101</f>
        <v/>
      </c>
      <c r="O101" s="18" t="inlineStr">
        <is>
          <t>Ventas</t>
        </is>
      </c>
    </row>
    <row r="102">
      <c r="A102" s="16" t="n">
        <v>637</v>
      </c>
      <c r="B102" s="16" t="inlineStr">
        <is>
          <t>Pagado</t>
        </is>
      </c>
      <c r="C102" s="16" t="n">
        <v>860002518</v>
      </c>
      <c r="D102" s="16" t="inlineStr">
        <is>
          <t>UNILEVER ANDINA COLOMBIA LTDA</t>
        </is>
      </c>
      <c r="E102" s="16" t="n">
        <v>5009088426</v>
      </c>
      <c r="F102" s="16" t="inlineStr">
        <is>
          <t>11/09/2025</t>
        </is>
      </c>
      <c r="G102" s="16" t="n">
        <v>5100353304</v>
      </c>
      <c r="H102" s="16" t="inlineStr">
        <is>
          <t>Devolucion</t>
        </is>
      </c>
      <c r="I102" s="16" t="inlineStr">
        <is>
          <t>05/09/2025</t>
        </is>
      </c>
      <c r="J102" s="16" t="n">
        <v>0</v>
      </c>
      <c r="K102" s="17" t="n">
        <v>53757</v>
      </c>
      <c r="L102" s="16" t="inlineStr">
        <is>
          <t>Cerritos</t>
        </is>
      </c>
      <c r="N102" s="18">
        <f>_xlfn.CONCAT(H102 &amp;" "&amp; E102)</f>
        <v/>
      </c>
      <c r="O102" s="18" t="inlineStr">
        <is>
          <t>AVERIAS</t>
        </is>
      </c>
    </row>
    <row r="103">
      <c r="A103" s="16" t="n">
        <v>638</v>
      </c>
      <c r="B103" s="16" t="inlineStr">
        <is>
          <t>Pagado</t>
        </is>
      </c>
      <c r="C103" s="16" t="n">
        <v>860002518</v>
      </c>
      <c r="D103" s="16" t="inlineStr">
        <is>
          <t>UNILEVER ANDINA COLOMBIA LTDA</t>
        </is>
      </c>
      <c r="E103" s="16" t="inlineStr">
        <is>
          <t>NOTA DEVOLUCIÓN</t>
        </is>
      </c>
      <c r="F103" s="16" t="inlineStr">
        <is>
          <t>12/09/2025</t>
        </is>
      </c>
      <c r="G103" s="16" t="n">
        <v>1700027503</v>
      </c>
      <c r="H103" s="16" t="inlineStr">
        <is>
          <t>Nota</t>
        </is>
      </c>
      <c r="I103" s="16" t="inlineStr">
        <is>
          <t>05/09/2025</t>
        </is>
      </c>
      <c r="J103" s="16" t="n">
        <v>0</v>
      </c>
      <c r="K103" s="17" t="n">
        <v>3659996</v>
      </c>
      <c r="L103" s="16" t="inlineStr">
        <is>
          <t>Barranquilla</t>
        </is>
      </c>
      <c r="M103" s="16" t="inlineStr">
        <is>
          <t>NOTA DEVOLUCIÓN POR DEPURACIÓN INVENTARIO SEP 25</t>
        </is>
      </c>
      <c r="N103" s="18">
        <f>+M103</f>
        <v/>
      </c>
      <c r="O103" s="18" t="inlineStr">
        <is>
          <t>Ventas</t>
        </is>
      </c>
    </row>
    <row r="104">
      <c r="A104" s="16" t="n">
        <v>639</v>
      </c>
      <c r="B104" s="16" t="inlineStr">
        <is>
          <t>Pagado</t>
        </is>
      </c>
      <c r="C104" s="16" t="n">
        <v>860002518</v>
      </c>
      <c r="D104" s="16" t="inlineStr">
        <is>
          <t>UNILEVER ANDINA COLOMBIA LTDA</t>
        </is>
      </c>
      <c r="E104" s="16" t="inlineStr">
        <is>
          <t>NOTA DEVOLUCIÓN</t>
        </is>
      </c>
      <c r="F104" s="16" t="inlineStr">
        <is>
          <t>12/09/2025</t>
        </is>
      </c>
      <c r="G104" s="16" t="n">
        <v>1700027697</v>
      </c>
      <c r="H104" s="16" t="inlineStr">
        <is>
          <t>Nota</t>
        </is>
      </c>
      <c r="I104" s="16" t="inlineStr">
        <is>
          <t>05/09/2025</t>
        </is>
      </c>
      <c r="J104" s="16" t="n">
        <v>0</v>
      </c>
      <c r="K104" s="17" t="n">
        <v>1074320</v>
      </c>
      <c r="L104" s="16" t="inlineStr">
        <is>
          <t>Palmira</t>
        </is>
      </c>
      <c r="M104" s="16" t="inlineStr">
        <is>
          <t>NOTA DEVOLUCIÓN POR DEPURACIÓN INVENTARIO SEP 25</t>
        </is>
      </c>
      <c r="N104" s="18">
        <f>+M104</f>
        <v/>
      </c>
      <c r="O104" s="18" t="inlineStr">
        <is>
          <t>Ventas</t>
        </is>
      </c>
    </row>
    <row r="105">
      <c r="A105" s="16" t="n">
        <v>640</v>
      </c>
      <c r="B105" s="16" t="inlineStr">
        <is>
          <t>Pagado</t>
        </is>
      </c>
      <c r="C105" s="16" t="n">
        <v>860002518</v>
      </c>
      <c r="D105" s="16" t="inlineStr">
        <is>
          <t>UNILEVER ANDINA COLOMBIA LTDA</t>
        </is>
      </c>
      <c r="E105" s="16" t="inlineStr">
        <is>
          <t>NOTA DEVOLUCIÓN</t>
        </is>
      </c>
      <c r="F105" s="16" t="inlineStr">
        <is>
          <t>12/09/2025</t>
        </is>
      </c>
      <c r="G105" s="16" t="n">
        <v>1700027853</v>
      </c>
      <c r="H105" s="16" t="inlineStr">
        <is>
          <t>Nota</t>
        </is>
      </c>
      <c r="I105" s="16" t="inlineStr">
        <is>
          <t>05/09/2025</t>
        </is>
      </c>
      <c r="J105" s="16" t="n">
        <v>0</v>
      </c>
      <c r="K105" s="17" t="n">
        <v>8010033</v>
      </c>
      <c r="L105" s="16" t="inlineStr">
        <is>
          <t>Cota</t>
        </is>
      </c>
      <c r="M105" s="16" t="inlineStr">
        <is>
          <t>NOTA DEVOLUCIÓN POR DEPURACIÓN INVENTARIO SEP 25</t>
        </is>
      </c>
      <c r="N105" s="18">
        <f>+M105</f>
        <v/>
      </c>
      <c r="O105" s="18" t="inlineStr">
        <is>
          <t>Ventas</t>
        </is>
      </c>
    </row>
    <row r="106">
      <c r="A106" s="16" t="n">
        <v>641</v>
      </c>
      <c r="B106" s="16" t="inlineStr">
        <is>
          <t>Pagado</t>
        </is>
      </c>
      <c r="C106" s="16" t="n">
        <v>860002518</v>
      </c>
      <c r="D106" s="16" t="inlineStr">
        <is>
          <t>UNILEVER ANDINA COLOMBIA LTDA</t>
        </is>
      </c>
      <c r="E106" s="16" t="n">
        <v>5009087951</v>
      </c>
      <c r="F106" s="16" t="inlineStr">
        <is>
          <t>08/09/2025</t>
        </is>
      </c>
      <c r="G106" s="16" t="n">
        <v>5100353109</v>
      </c>
      <c r="H106" s="16" t="inlineStr">
        <is>
          <t>Devolucion</t>
        </is>
      </c>
      <c r="I106" s="16" t="inlineStr">
        <is>
          <t>05/09/2025</t>
        </is>
      </c>
      <c r="J106" s="16" t="n">
        <v>0</v>
      </c>
      <c r="K106" s="17" t="n">
        <v>112955</v>
      </c>
      <c r="N106" s="18">
        <f>_xlfn.CONCAT(H106 &amp;" "&amp; E106)</f>
        <v/>
      </c>
      <c r="O106" s="18" t="inlineStr">
        <is>
          <t>AVERIAS</t>
        </is>
      </c>
    </row>
    <row r="107">
      <c r="A107" s="16" t="n">
        <v>642</v>
      </c>
      <c r="B107" s="16" t="inlineStr">
        <is>
          <t>Pagado</t>
        </is>
      </c>
      <c r="C107" s="16" t="n">
        <v>860002518</v>
      </c>
      <c r="D107" s="16" t="inlineStr">
        <is>
          <t>UNILEVER ANDINA COLOMBIA LTDA</t>
        </is>
      </c>
      <c r="E107" s="16" t="inlineStr">
        <is>
          <t>NOTA DEVOLUCIÓN</t>
        </is>
      </c>
      <c r="F107" s="16" t="inlineStr">
        <is>
          <t>12/09/2025</t>
        </is>
      </c>
      <c r="G107" s="16" t="n">
        <v>1700028003</v>
      </c>
      <c r="H107" s="16" t="inlineStr">
        <is>
          <t>Nota</t>
        </is>
      </c>
      <c r="I107" s="16" t="inlineStr">
        <is>
          <t>05/09/2025</t>
        </is>
      </c>
      <c r="J107" s="16" t="n">
        <v>0</v>
      </c>
      <c r="K107" s="17" t="n">
        <v>209929</v>
      </c>
      <c r="L107" s="16" t="inlineStr">
        <is>
          <t>Bucaramanga ZF</t>
        </is>
      </c>
      <c r="M107" s="16" t="inlineStr">
        <is>
          <t>NOTA DEVOLUCIÓN POR DEPURACIÓN INVENTARIO SEP 25</t>
        </is>
      </c>
      <c r="N107" s="18">
        <f>+M107</f>
        <v/>
      </c>
      <c r="O107" s="18" t="inlineStr">
        <is>
          <t>Ventas</t>
        </is>
      </c>
    </row>
    <row r="108">
      <c r="A108" s="16" t="n">
        <v>643</v>
      </c>
      <c r="B108" s="16" t="inlineStr">
        <is>
          <t>Pagado</t>
        </is>
      </c>
      <c r="C108" s="16" t="n">
        <v>860002518</v>
      </c>
      <c r="D108" s="16" t="inlineStr">
        <is>
          <t>UNILEVER ANDINA COLOMBIA LTDA</t>
        </is>
      </c>
      <c r="E108" s="16" t="n">
        <v>5009087714</v>
      </c>
      <c r="F108" s="16" t="inlineStr">
        <is>
          <t>08/09/2025</t>
        </is>
      </c>
      <c r="G108" s="16" t="n">
        <v>5100353056</v>
      </c>
      <c r="H108" s="16" t="inlineStr">
        <is>
          <t>Devolucion</t>
        </is>
      </c>
      <c r="I108" s="16" t="inlineStr">
        <is>
          <t>05/09/2025</t>
        </is>
      </c>
      <c r="J108" s="16" t="n">
        <v>0</v>
      </c>
      <c r="K108" s="17" t="n">
        <v>396939</v>
      </c>
      <c r="N108" s="18">
        <f>_xlfn.CONCAT(H108 &amp;" "&amp; E108)</f>
        <v/>
      </c>
      <c r="O108" s="18" t="inlineStr">
        <is>
          <t>AVERIAS</t>
        </is>
      </c>
    </row>
    <row r="109">
      <c r="A109" s="16" t="n">
        <v>644</v>
      </c>
      <c r="B109" s="16" t="inlineStr">
        <is>
          <t>Pagado</t>
        </is>
      </c>
      <c r="C109" s="16" t="n">
        <v>860002518</v>
      </c>
      <c r="D109" s="16" t="inlineStr">
        <is>
          <t>UNILEVER ANDINA COLOMBIA LTDA</t>
        </is>
      </c>
      <c r="E109" s="16" t="inlineStr">
        <is>
          <t>AUT.G.COMERCIAL</t>
        </is>
      </c>
      <c r="F109" s="16" t="inlineStr">
        <is>
          <t>12/09/2025</t>
        </is>
      </c>
      <c r="G109" s="16" t="n">
        <v>1700028340</v>
      </c>
      <c r="H109" s="16" t="inlineStr">
        <is>
          <t>Nota</t>
        </is>
      </c>
      <c r="I109" s="16" t="inlineStr">
        <is>
          <t>08/09/2025</t>
        </is>
      </c>
      <c r="J109" s="16" t="n">
        <v>0</v>
      </c>
      <c r="K109" s="17" t="n">
        <v>97776</v>
      </c>
      <c r="L109" s="16" t="inlineStr">
        <is>
          <t>Cota</t>
        </is>
      </c>
      <c r="M109" s="16" t="inlineStr">
        <is>
          <t>Dev.&gt;.a.30.dias.en.CEDI.8_Sep_</t>
        </is>
      </c>
      <c r="N109" s="18">
        <f>+M109</f>
        <v/>
      </c>
      <c r="O109" s="18" t="inlineStr">
        <is>
          <t xml:space="preserve">COL </t>
        </is>
      </c>
    </row>
    <row r="110">
      <c r="A110" s="16" t="n">
        <v>645</v>
      </c>
      <c r="B110" s="16" t="inlineStr">
        <is>
          <t>Pagado</t>
        </is>
      </c>
      <c r="C110" s="16" t="n">
        <v>860002518</v>
      </c>
      <c r="D110" s="16" t="inlineStr">
        <is>
          <t>UNILEVER ANDINA COLOMBIA LTDA</t>
        </is>
      </c>
      <c r="E110" s="16" t="n">
        <v>5009102501</v>
      </c>
      <c r="F110" s="16" t="inlineStr">
        <is>
          <t>11/09/2025</t>
        </is>
      </c>
      <c r="G110" s="16" t="n">
        <v>5100356746</v>
      </c>
      <c r="H110" s="16" t="inlineStr">
        <is>
          <t>Devolucion</t>
        </is>
      </c>
      <c r="I110" s="16" t="inlineStr">
        <is>
          <t>09/09/2025</t>
        </is>
      </c>
      <c r="J110" s="16" t="n">
        <v>0</v>
      </c>
      <c r="K110" s="17" t="n">
        <v>26879</v>
      </c>
      <c r="L110" s="16" t="inlineStr">
        <is>
          <t>Cerritos</t>
        </is>
      </c>
      <c r="N110" s="18">
        <f>_xlfn.CONCAT(H110 &amp;" "&amp; E110)</f>
        <v/>
      </c>
      <c r="O110" s="18" t="inlineStr">
        <is>
          <t>AVERIAS</t>
        </is>
      </c>
    </row>
    <row r="111">
      <c r="A111" s="16" t="n">
        <v>646</v>
      </c>
      <c r="B111" s="16" t="inlineStr">
        <is>
          <t>Pagado</t>
        </is>
      </c>
      <c r="C111" s="16" t="n">
        <v>860002518</v>
      </c>
      <c r="D111" s="16" t="inlineStr">
        <is>
          <t>UNILEVER ANDINA COLOMBIA LTDA</t>
        </is>
      </c>
      <c r="E111" s="16" t="inlineStr">
        <is>
          <t>C. UNILEVER</t>
        </is>
      </c>
      <c r="F111" s="16" t="inlineStr">
        <is>
          <t>10/09/2025</t>
        </is>
      </c>
      <c r="G111" s="16" t="n">
        <v>1700028666</v>
      </c>
      <c r="H111" s="16" t="inlineStr">
        <is>
          <t>Nota</t>
        </is>
      </c>
      <c r="I111" s="16" t="inlineStr">
        <is>
          <t>10/09/2025</t>
        </is>
      </c>
      <c r="J111" s="16" t="n">
        <v>0</v>
      </c>
      <c r="K111" s="17" t="n">
        <v>2862</v>
      </c>
      <c r="L111" s="16" t="inlineStr">
        <is>
          <t>Cota</t>
        </is>
      </c>
      <c r="M111" s="16" t="inlineStr">
        <is>
          <t>DCTO 2.00% GLOBAL PAGO ANTICIPADO UNILEVER</t>
        </is>
      </c>
      <c r="N111" s="18">
        <f>+M111</f>
        <v/>
      </c>
      <c r="O111" s="18" t="inlineStr">
        <is>
          <t>DPP</t>
        </is>
      </c>
    </row>
    <row r="112">
      <c r="A112" s="16" t="n">
        <v>647</v>
      </c>
      <c r="B112" s="16" t="inlineStr">
        <is>
          <t>Pagado</t>
        </is>
      </c>
      <c r="C112" s="16" t="n">
        <v>860002518</v>
      </c>
      <c r="D112" s="16" t="inlineStr">
        <is>
          <t>UNILEVER ANDINA COLOMBIA LTDA</t>
        </is>
      </c>
      <c r="E112" s="16" t="n">
        <v>5009114135</v>
      </c>
      <c r="F112" s="16" t="inlineStr">
        <is>
          <t>16/09/2025</t>
        </is>
      </c>
      <c r="G112" s="16" t="n">
        <v>5100359889</v>
      </c>
      <c r="H112" s="16" t="inlineStr">
        <is>
          <t>Devolucion</t>
        </is>
      </c>
      <c r="I112" s="16" t="inlineStr">
        <is>
          <t>11/09/2025</t>
        </is>
      </c>
      <c r="J112" s="16" t="n">
        <v>0</v>
      </c>
      <c r="K112" s="17" t="n">
        <v>15428</v>
      </c>
      <c r="L112" s="16" t="inlineStr">
        <is>
          <t>Cerritos</t>
        </is>
      </c>
      <c r="N112" s="18">
        <f>_xlfn.CONCAT(H112 &amp;" "&amp; E112)</f>
        <v/>
      </c>
      <c r="O112" s="18" t="inlineStr">
        <is>
          <t>AVERIAS</t>
        </is>
      </c>
    </row>
    <row r="113">
      <c r="A113" s="16" t="n">
        <v>648</v>
      </c>
      <c r="B113" s="16" t="inlineStr">
        <is>
          <t>Pagado</t>
        </is>
      </c>
      <c r="C113" s="16" t="n">
        <v>860002518</v>
      </c>
      <c r="D113" s="16" t="inlineStr">
        <is>
          <t>UNILEVER ANDINA COLOMBIA LTDA</t>
        </is>
      </c>
      <c r="E113" s="16" t="n">
        <v>5009119418</v>
      </c>
      <c r="F113" s="16" t="inlineStr">
        <is>
          <t>16/09/2025</t>
        </is>
      </c>
      <c r="G113" s="16" t="n">
        <v>5100361616</v>
      </c>
      <c r="H113" s="16" t="inlineStr">
        <is>
          <t>Devolucion</t>
        </is>
      </c>
      <c r="I113" s="16" t="inlineStr">
        <is>
          <t>13/09/2025</t>
        </is>
      </c>
      <c r="J113" s="16" t="n">
        <v>0</v>
      </c>
      <c r="K113" s="17" t="n">
        <v>295664</v>
      </c>
      <c r="L113" s="16" t="inlineStr">
        <is>
          <t>Palmira</t>
        </is>
      </c>
      <c r="N113" s="18">
        <f>_xlfn.CONCAT(H113 &amp;" "&amp; E113)</f>
        <v/>
      </c>
      <c r="O113" s="18" t="inlineStr">
        <is>
          <t>AVERIAS</t>
        </is>
      </c>
    </row>
    <row r="114">
      <c r="A114" s="16" t="n">
        <v>649</v>
      </c>
      <c r="B114" s="16" t="inlineStr">
        <is>
          <t>Pagado</t>
        </is>
      </c>
      <c r="C114" s="16" t="n">
        <v>860002518</v>
      </c>
      <c r="D114" s="16" t="inlineStr">
        <is>
          <t>UNILEVER ANDINA COLOMBIA LTDA</t>
        </is>
      </c>
      <c r="E114" s="16" t="n">
        <v>5009121574</v>
      </c>
      <c r="F114" s="16" t="inlineStr">
        <is>
          <t>16/09/2025</t>
        </is>
      </c>
      <c r="G114" s="16" t="n">
        <v>5100362261</v>
      </c>
      <c r="H114" s="16" t="inlineStr">
        <is>
          <t>Devolucion</t>
        </is>
      </c>
      <c r="I114" s="16" t="inlineStr">
        <is>
          <t>15/09/2025</t>
        </is>
      </c>
      <c r="J114" s="16" t="n">
        <v>0</v>
      </c>
      <c r="K114" s="17" t="n">
        <v>867465</v>
      </c>
      <c r="L114" s="16" t="inlineStr">
        <is>
          <t>Cerritos</t>
        </is>
      </c>
      <c r="N114" s="18">
        <f>_xlfn.CONCAT(H114 &amp;" "&amp; E114)</f>
        <v/>
      </c>
      <c r="O114" s="18" t="inlineStr">
        <is>
          <t>AVERIAS</t>
        </is>
      </c>
    </row>
    <row r="115">
      <c r="A115" s="16" t="n">
        <v>650</v>
      </c>
      <c r="B115" s="16" t="inlineStr">
        <is>
          <t>Pagado</t>
        </is>
      </c>
      <c r="C115" s="16" t="n">
        <v>860002518</v>
      </c>
      <c r="D115" s="16" t="inlineStr">
        <is>
          <t>UNILEVER ANDINA COLOMBIA LTDA</t>
        </is>
      </c>
      <c r="E115" s="16" t="n">
        <v>5009121268</v>
      </c>
      <c r="F115" s="16" t="inlineStr">
        <is>
          <t>16/09/2025</t>
        </is>
      </c>
      <c r="G115" s="16" t="n">
        <v>5100362171</v>
      </c>
      <c r="H115" s="16" t="inlineStr">
        <is>
          <t>Devolucion</t>
        </is>
      </c>
      <c r="I115" s="16" t="inlineStr">
        <is>
          <t>15/09/2025</t>
        </is>
      </c>
      <c r="J115" s="16" t="n">
        <v>0</v>
      </c>
      <c r="K115" s="17" t="n">
        <v>671914</v>
      </c>
      <c r="L115" s="16" t="inlineStr">
        <is>
          <t>Cota</t>
        </is>
      </c>
      <c r="N115" s="18">
        <f>_xlfn.CONCAT(H115 &amp;" "&amp; E115)</f>
        <v/>
      </c>
      <c r="O115" s="18" t="inlineStr">
        <is>
          <t>AVERIAS</t>
        </is>
      </c>
    </row>
    <row r="116">
      <c r="A116" s="16" t="n">
        <v>761</v>
      </c>
      <c r="B116" s="16" t="inlineStr">
        <is>
          <t>Pagado</t>
        </is>
      </c>
      <c r="C116" s="16" t="n">
        <v>860002518</v>
      </c>
      <c r="D116" s="16" t="inlineStr">
        <is>
          <t>UNILEVER ANDINA COLOMBIA LTDA</t>
        </is>
      </c>
      <c r="E116" s="16" t="inlineStr">
        <is>
          <t>PMP1258179</t>
        </is>
      </c>
      <c r="F116" s="16" t="inlineStr">
        <is>
          <t>02/09/2025</t>
        </is>
      </c>
      <c r="G116" s="16" t="n">
        <v>5100266988</v>
      </c>
      <c r="H116" s="16" t="inlineStr">
        <is>
          <t>Reduc Factura Compra</t>
        </is>
      </c>
      <c r="I116" s="16" t="inlineStr">
        <is>
          <t>02/07/2025</t>
        </is>
      </c>
      <c r="J116" s="16" t="n">
        <v>0</v>
      </c>
      <c r="K116" s="17" t="n">
        <v>8036870</v>
      </c>
      <c r="M116" s="16" t="inlineStr">
        <is>
          <t>UNILEVER ANDINA COLOMBIA LTDA/conciliacion</t>
        </is>
      </c>
      <c r="N116" s="18">
        <f>+H116&amp;" "&amp;E116</f>
        <v/>
      </c>
      <c r="O116" s="18" t="inlineStr">
        <is>
          <t>Ventas</t>
        </is>
      </c>
    </row>
    <row r="117">
      <c r="A117" s="16" t="n">
        <v>762</v>
      </c>
      <c r="B117" s="16" t="inlineStr">
        <is>
          <t>Pagado</t>
        </is>
      </c>
      <c r="C117" s="16" t="n">
        <v>860002518</v>
      </c>
      <c r="D117" s="16" t="inlineStr">
        <is>
          <t>UNILEVER ANDINA COLOMBIA LTDA</t>
        </is>
      </c>
      <c r="E117" s="16" t="inlineStr">
        <is>
          <t>PMP1258180</t>
        </is>
      </c>
      <c r="F117" s="16" t="inlineStr">
        <is>
          <t>02/09/2025</t>
        </is>
      </c>
      <c r="G117" s="16" t="n">
        <v>5100266990</v>
      </c>
      <c r="H117" s="16" t="inlineStr">
        <is>
          <t>Factura Acrededor</t>
        </is>
      </c>
      <c r="I117" s="16" t="inlineStr">
        <is>
          <t>02/07/2025</t>
        </is>
      </c>
      <c r="J117" s="16" t="n">
        <v>0</v>
      </c>
      <c r="K117" s="17" t="n">
        <v>-7218060</v>
      </c>
      <c r="M117" s="16" t="inlineStr">
        <is>
          <t>UNILEVER ANDINA COLOMBIA LTDA</t>
        </is>
      </c>
      <c r="N117" s="18">
        <f>+H117&amp;" "&amp; E117</f>
        <v/>
      </c>
      <c r="O117" s="18" t="inlineStr">
        <is>
          <t>Cartera</t>
        </is>
      </c>
    </row>
    <row r="118">
      <c r="A118" s="16" t="n">
        <v>763</v>
      </c>
      <c r="B118" s="16" t="inlineStr">
        <is>
          <t>Pagado</t>
        </is>
      </c>
      <c r="C118" s="16" t="n">
        <v>860002518</v>
      </c>
      <c r="D118" s="16" t="inlineStr">
        <is>
          <t>UNILEVER ANDINA COLOMBIA LTDA</t>
        </is>
      </c>
      <c r="E118" s="16" t="inlineStr">
        <is>
          <t>PMP1258180</t>
        </is>
      </c>
      <c r="F118" s="16" t="inlineStr">
        <is>
          <t>02/09/2025</t>
        </is>
      </c>
      <c r="G118" s="16" t="n">
        <v>5100266991</v>
      </c>
      <c r="H118" s="16" t="inlineStr">
        <is>
          <t>Reduc Factura Compra</t>
        </is>
      </c>
      <c r="I118" s="16" t="inlineStr">
        <is>
          <t>02/07/2025</t>
        </is>
      </c>
      <c r="J118" s="16" t="n">
        <v>0</v>
      </c>
      <c r="K118" s="17" t="n">
        <v>2887142</v>
      </c>
      <c r="M118" s="16" t="inlineStr">
        <is>
          <t>UNILEVER ANDINA COLOMBIA LTDA</t>
        </is>
      </c>
      <c r="N118" s="18">
        <f>+H118&amp;" "&amp;E118</f>
        <v/>
      </c>
      <c r="O118" s="18" t="inlineStr">
        <is>
          <t>Ventas</t>
        </is>
      </c>
    </row>
    <row r="119">
      <c r="A119" s="16" t="n">
        <v>764</v>
      </c>
      <c r="B119" s="16" t="inlineStr">
        <is>
          <t>Pagado</t>
        </is>
      </c>
      <c r="C119" s="16" t="n">
        <v>860002518</v>
      </c>
      <c r="D119" s="16" t="inlineStr">
        <is>
          <t>UNILEVER ANDINA COLOMBIA LTDA</t>
        </is>
      </c>
      <c r="E119" s="16" t="inlineStr">
        <is>
          <t>PMP1258179</t>
        </is>
      </c>
      <c r="F119" s="16" t="inlineStr">
        <is>
          <t>02/09/2025</t>
        </is>
      </c>
      <c r="G119" s="16" t="n">
        <v>5100266987</v>
      </c>
      <c r="H119" s="16" t="inlineStr">
        <is>
          <t>Factura Acrededor</t>
        </is>
      </c>
      <c r="I119" s="16" t="inlineStr">
        <is>
          <t>02/07/2025</t>
        </is>
      </c>
      <c r="J119" s="16" t="n">
        <v>0</v>
      </c>
      <c r="K119" s="17" t="n">
        <v>-20092252</v>
      </c>
      <c r="M119" s="16" t="inlineStr">
        <is>
          <t>UNILEVER ANDINA COLOMBIA LTDA/conciliacion</t>
        </is>
      </c>
      <c r="N119" s="18">
        <f>+H119&amp;" "&amp; E119</f>
        <v/>
      </c>
      <c r="O119" s="18" t="inlineStr">
        <is>
          <t>Cartera</t>
        </is>
      </c>
    </row>
    <row r="120">
      <c r="A120" s="16" t="n">
        <v>768</v>
      </c>
      <c r="B120" s="16" t="inlineStr">
        <is>
          <t>Pagado</t>
        </is>
      </c>
      <c r="C120" s="16" t="n">
        <v>860002518</v>
      </c>
      <c r="D120" s="16" t="inlineStr">
        <is>
          <t>UNILEVER ANDINA COLOMBIA LTDA</t>
        </is>
      </c>
      <c r="E120" s="16" t="inlineStr">
        <is>
          <t>PMP1258126</t>
        </is>
      </c>
      <c r="F120" s="16" t="inlineStr">
        <is>
          <t>04/09/2025</t>
        </is>
      </c>
      <c r="G120" s="16" t="n">
        <v>1700019576</v>
      </c>
      <c r="H120" s="16" t="inlineStr">
        <is>
          <t>Nota</t>
        </is>
      </c>
      <c r="I120" s="16" t="inlineStr">
        <is>
          <t>05/09/2025</t>
        </is>
      </c>
      <c r="J120" s="16" t="n">
        <v>0</v>
      </c>
      <c r="K120" s="17" t="n">
        <v>1395015</v>
      </c>
      <c r="L120" s="16" t="inlineStr">
        <is>
          <t>Cerritos</t>
        </is>
      </c>
      <c r="M120" s="16" t="inlineStr">
        <is>
          <t>8 % CONFIDENCIAL UNILEVER</t>
        </is>
      </c>
      <c r="N120" s="18">
        <f>+M120</f>
        <v/>
      </c>
      <c r="O120" s="18" t="inlineStr">
        <is>
          <t>Ventas</t>
        </is>
      </c>
    </row>
    <row r="121">
      <c r="A121" s="16" t="n">
        <v>769</v>
      </c>
      <c r="B121" s="16" t="inlineStr">
        <is>
          <t>Pagado</t>
        </is>
      </c>
      <c r="C121" s="16" t="n">
        <v>860002518</v>
      </c>
      <c r="D121" s="16" t="inlineStr">
        <is>
          <t>UNILEVER ANDINA COLOMBIA LTDA</t>
        </is>
      </c>
      <c r="E121" s="16" t="inlineStr">
        <is>
          <t>PMP1258126</t>
        </is>
      </c>
      <c r="F121" s="16" t="inlineStr">
        <is>
          <t>04/09/2025</t>
        </is>
      </c>
      <c r="G121" s="16" t="n">
        <v>5100267180</v>
      </c>
      <c r="H121" s="16" t="inlineStr">
        <is>
          <t>Factura Acrededor</t>
        </is>
      </c>
      <c r="I121" s="16" t="inlineStr">
        <is>
          <t>02/07/2025</t>
        </is>
      </c>
      <c r="J121" s="16" t="n">
        <v>0</v>
      </c>
      <c r="K121" s="17" t="n">
        <v>-19284950</v>
      </c>
      <c r="L121" s="16" t="inlineStr">
        <is>
          <t>Cerritos</t>
        </is>
      </c>
      <c r="N121" s="18">
        <f>+H121&amp;" "&amp; E121</f>
        <v/>
      </c>
      <c r="O121" s="18" t="inlineStr">
        <is>
          <t>Cartera</t>
        </is>
      </c>
    </row>
    <row r="122">
      <c r="A122" s="16" t="n">
        <v>770</v>
      </c>
      <c r="B122" s="16" t="inlineStr">
        <is>
          <t>Pagado</t>
        </is>
      </c>
      <c r="C122" s="16" t="n">
        <v>860002518</v>
      </c>
      <c r="D122" s="16" t="inlineStr">
        <is>
          <t>UNILEVER ANDINA COLOMBIA LTDA</t>
        </is>
      </c>
      <c r="E122" s="16" t="inlineStr">
        <is>
          <t>PMP1258126</t>
        </is>
      </c>
      <c r="F122" s="16" t="inlineStr">
        <is>
          <t>04/09/2025</t>
        </is>
      </c>
      <c r="G122" s="16" t="n">
        <v>5100267181</v>
      </c>
      <c r="H122" s="16" t="inlineStr">
        <is>
          <t>Reduc Factura Compra</t>
        </is>
      </c>
      <c r="I122" s="16" t="inlineStr">
        <is>
          <t>02/07/2025</t>
        </is>
      </c>
      <c r="J122" s="16" t="n">
        <v>0</v>
      </c>
      <c r="K122" s="17" t="n">
        <v>7715257</v>
      </c>
      <c r="L122" s="16" t="inlineStr">
        <is>
          <t>Cerritos</t>
        </is>
      </c>
      <c r="N122" s="18">
        <f>+H122&amp;" "&amp;E122</f>
        <v/>
      </c>
      <c r="O122" s="18" t="inlineStr">
        <is>
          <t>Ventas</t>
        </is>
      </c>
    </row>
    <row r="123">
      <c r="A123" s="16" t="n">
        <v>771</v>
      </c>
      <c r="B123" s="16" t="inlineStr">
        <is>
          <t>Pagado</t>
        </is>
      </c>
      <c r="C123" s="16" t="n">
        <v>860002518</v>
      </c>
      <c r="D123" s="16" t="inlineStr">
        <is>
          <t>UNILEVER ANDINA COLOMBIA LTDA</t>
        </is>
      </c>
      <c r="E123" s="16" t="inlineStr">
        <is>
          <t>PMP1258127</t>
        </is>
      </c>
      <c r="F123" s="16" t="inlineStr">
        <is>
          <t>04/09/2025</t>
        </is>
      </c>
      <c r="G123" s="16" t="n">
        <v>5100267197</v>
      </c>
      <c r="H123" s="16" t="inlineStr">
        <is>
          <t>Factura Acrededor</t>
        </is>
      </c>
      <c r="I123" s="16" t="inlineStr">
        <is>
          <t>02/07/2025</t>
        </is>
      </c>
      <c r="J123" s="16" t="n">
        <v>0</v>
      </c>
      <c r="K123" s="17" t="n">
        <v>-10046126</v>
      </c>
      <c r="L123" s="16" t="inlineStr">
        <is>
          <t>Cerritos</t>
        </is>
      </c>
      <c r="N123" s="18">
        <f>+H123&amp;" "&amp; E123</f>
        <v/>
      </c>
      <c r="O123" s="18" t="inlineStr">
        <is>
          <t>Cartera</t>
        </is>
      </c>
    </row>
    <row r="124">
      <c r="A124" s="16" t="n">
        <v>772</v>
      </c>
      <c r="B124" s="16" t="inlineStr">
        <is>
          <t>Pagado</t>
        </is>
      </c>
      <c r="C124" s="16" t="n">
        <v>860002518</v>
      </c>
      <c r="D124" s="16" t="inlineStr">
        <is>
          <t>UNILEVER ANDINA COLOMBIA LTDA</t>
        </is>
      </c>
      <c r="E124" s="16" t="inlineStr">
        <is>
          <t>PMP1258127</t>
        </is>
      </c>
      <c r="F124" s="16" t="inlineStr">
        <is>
          <t>04/09/2025</t>
        </is>
      </c>
      <c r="G124" s="16" t="n">
        <v>5100267198</v>
      </c>
      <c r="H124" s="16" t="inlineStr">
        <is>
          <t>Reduc Factura Compra</t>
        </is>
      </c>
      <c r="I124" s="16" t="inlineStr">
        <is>
          <t>02/07/2025</t>
        </is>
      </c>
      <c r="J124" s="16" t="n">
        <v>0</v>
      </c>
      <c r="K124" s="17" t="n">
        <v>4018436</v>
      </c>
      <c r="L124" s="16" t="inlineStr">
        <is>
          <t>Cerritos</t>
        </is>
      </c>
      <c r="N124" s="18">
        <f>+H124&amp;" "&amp;E124</f>
        <v/>
      </c>
      <c r="O124" s="18" t="inlineStr">
        <is>
          <t>Ventas</t>
        </is>
      </c>
    </row>
    <row r="125">
      <c r="A125" s="16" t="n">
        <v>773</v>
      </c>
      <c r="B125" s="16" t="inlineStr">
        <is>
          <t>Pagado</t>
        </is>
      </c>
      <c r="C125" s="16" t="n">
        <v>860002518</v>
      </c>
      <c r="D125" s="16" t="inlineStr">
        <is>
          <t>UNILEVER ANDINA COLOMBIA LTDA</t>
        </is>
      </c>
      <c r="E125" s="16" t="inlineStr">
        <is>
          <t>PMP1258594</t>
        </is>
      </c>
      <c r="F125" s="16" t="inlineStr">
        <is>
          <t>04/09/2025</t>
        </is>
      </c>
      <c r="G125" s="16" t="n">
        <v>5100267870</v>
      </c>
      <c r="H125" s="16" t="inlineStr">
        <is>
          <t>Factura Acrededor</t>
        </is>
      </c>
      <c r="I125" s="16" t="inlineStr">
        <is>
          <t>03/07/2025</t>
        </is>
      </c>
      <c r="J125" s="16" t="n">
        <v>0</v>
      </c>
      <c r="K125" s="17" t="n">
        <v>-75718026</v>
      </c>
      <c r="L125" s="16" t="inlineStr">
        <is>
          <t>Cota</t>
        </is>
      </c>
      <c r="M125" s="16" t="inlineStr">
        <is>
          <t>UNILEVER ANDINA COLOMBIA LTDA // CONCILIACIÓN</t>
        </is>
      </c>
      <c r="N125" s="18">
        <f>+H125&amp;" "&amp; E125</f>
        <v/>
      </c>
      <c r="O125" s="18" t="inlineStr">
        <is>
          <t>Cartera</t>
        </is>
      </c>
    </row>
    <row r="126">
      <c r="A126" s="16" t="n">
        <v>774</v>
      </c>
      <c r="B126" s="16" t="inlineStr">
        <is>
          <t>Pagado</t>
        </is>
      </c>
      <c r="C126" s="16" t="n">
        <v>860002518</v>
      </c>
      <c r="D126" s="16" t="inlineStr">
        <is>
          <t>UNILEVER ANDINA COLOMBIA LTDA</t>
        </is>
      </c>
      <c r="E126" s="16" t="inlineStr">
        <is>
          <t>PMP1258594</t>
        </is>
      </c>
      <c r="F126" s="16" t="inlineStr">
        <is>
          <t>04/09/2025</t>
        </is>
      </c>
      <c r="G126" s="16" t="n">
        <v>5100267871</v>
      </c>
      <c r="H126" s="16" t="inlineStr">
        <is>
          <t>Reduc Factura Compra</t>
        </is>
      </c>
      <c r="I126" s="16" t="inlineStr">
        <is>
          <t>03/07/2025</t>
        </is>
      </c>
      <c r="J126" s="16" t="n">
        <v>0</v>
      </c>
      <c r="K126" s="17" t="n">
        <v>30287097</v>
      </c>
      <c r="L126" s="16" t="inlineStr">
        <is>
          <t>Cota</t>
        </is>
      </c>
      <c r="M126" s="16" t="inlineStr">
        <is>
          <t>UNILEVER ANDINA COLOMBIA LTDA // CONCILIACIÓN</t>
        </is>
      </c>
      <c r="N126" s="18">
        <f>+H126&amp;" "&amp;E126</f>
        <v/>
      </c>
      <c r="O126" s="18" t="inlineStr">
        <is>
          <t>Ventas</t>
        </is>
      </c>
    </row>
    <row r="127">
      <c r="A127" s="16" t="n">
        <v>777</v>
      </c>
      <c r="B127" s="16" t="inlineStr">
        <is>
          <t>Pagado</t>
        </is>
      </c>
      <c r="C127" s="16" t="n">
        <v>860002518</v>
      </c>
      <c r="D127" s="16" t="inlineStr">
        <is>
          <t>UNILEVER ANDINA COLOMBIA LTDA</t>
        </is>
      </c>
      <c r="E127" s="16" t="inlineStr">
        <is>
          <t>PMP1258180</t>
        </is>
      </c>
      <c r="F127" s="16" t="inlineStr">
        <is>
          <t>02/09/2025</t>
        </is>
      </c>
      <c r="G127" s="16" t="n">
        <v>1700019572</v>
      </c>
      <c r="H127" s="16" t="inlineStr">
        <is>
          <t>Nota</t>
        </is>
      </c>
      <c r="I127" s="16" t="inlineStr">
        <is>
          <t>03/09/2025</t>
        </is>
      </c>
      <c r="J127" s="16" t="n">
        <v>0</v>
      </c>
      <c r="K127" s="17" t="n">
        <v>219154</v>
      </c>
      <c r="M127" s="16" t="inlineStr">
        <is>
          <t>DESCTO 8% CONFIDENCIAL OC 7600208160 BELLO</t>
        </is>
      </c>
      <c r="N127" s="18">
        <f>+M127</f>
        <v/>
      </c>
      <c r="O127" s="18" t="inlineStr">
        <is>
          <t>Ventas</t>
        </is>
      </c>
    </row>
    <row r="128">
      <c r="A128" s="16" t="n">
        <v>783</v>
      </c>
      <c r="B128" s="16" t="inlineStr">
        <is>
          <t>Pagado</t>
        </is>
      </c>
      <c r="C128" s="16" t="n">
        <v>860002518</v>
      </c>
      <c r="D128" s="16" t="inlineStr">
        <is>
          <t>UNILEVER ANDINA COLOMBIA LTDA</t>
        </is>
      </c>
      <c r="E128" s="16" t="inlineStr">
        <is>
          <t>PMP1258595</t>
        </is>
      </c>
      <c r="F128" s="16" t="inlineStr">
        <is>
          <t>04/09/2025</t>
        </is>
      </c>
      <c r="G128" s="16" t="n">
        <v>5100268791</v>
      </c>
      <c r="H128" s="16" t="inlineStr">
        <is>
          <t>Reduc Factura Compra</t>
        </is>
      </c>
      <c r="I128" s="16" t="inlineStr">
        <is>
          <t>03/07/2025</t>
        </is>
      </c>
      <c r="J128" s="16" t="n">
        <v>0</v>
      </c>
      <c r="K128" s="17" t="n">
        <v>65166867</v>
      </c>
      <c r="L128" s="16" t="inlineStr">
        <is>
          <t>Cota</t>
        </is>
      </c>
      <c r="M128" s="16" t="inlineStr">
        <is>
          <t>UNILEVER ANDINA COLOMBIA LTDA // CONCILIACIÓN</t>
        </is>
      </c>
      <c r="N128" s="18">
        <f>+H128&amp;" "&amp;E128</f>
        <v/>
      </c>
      <c r="O128" s="18" t="inlineStr">
        <is>
          <t>Ventas</t>
        </is>
      </c>
    </row>
    <row r="129">
      <c r="A129" s="16" t="n">
        <v>785</v>
      </c>
      <c r="B129" s="16" t="inlineStr">
        <is>
          <t>Pagado</t>
        </is>
      </c>
      <c r="C129" s="16" t="n">
        <v>860002518</v>
      </c>
      <c r="D129" s="16" t="inlineStr">
        <is>
          <t>UNILEVER ANDINA COLOMBIA LTDA</t>
        </is>
      </c>
      <c r="E129" s="16" t="inlineStr">
        <is>
          <t>PMP1258595</t>
        </is>
      </c>
      <c r="F129" s="16" t="inlineStr">
        <is>
          <t>04/09/2025</t>
        </is>
      </c>
      <c r="G129" s="16" t="n">
        <v>5100268790</v>
      </c>
      <c r="H129" s="16" t="inlineStr">
        <is>
          <t>Factura Acrededor</t>
        </is>
      </c>
      <c r="I129" s="16" t="inlineStr">
        <is>
          <t>03/07/2025</t>
        </is>
      </c>
      <c r="J129" s="16" t="n">
        <v>0</v>
      </c>
      <c r="K129" s="17" t="n">
        <v>-162926000</v>
      </c>
      <c r="L129" s="16" t="inlineStr">
        <is>
          <t>Cota</t>
        </is>
      </c>
      <c r="M129" s="16" t="inlineStr">
        <is>
          <t>UNILEVER ANDINA COLOMBIA LTDA // CONCILIACIÓN</t>
        </is>
      </c>
      <c r="N129" s="18">
        <f>+H129&amp;" "&amp; E129</f>
        <v/>
      </c>
      <c r="O129" s="18" t="inlineStr">
        <is>
          <t>Cartera</t>
        </is>
      </c>
    </row>
    <row r="130">
      <c r="A130" s="16" t="n">
        <v>787</v>
      </c>
      <c r="B130" s="16" t="inlineStr">
        <is>
          <t>Pagado</t>
        </is>
      </c>
      <c r="C130" s="16" t="n">
        <v>860002518</v>
      </c>
      <c r="D130" s="16" t="inlineStr">
        <is>
          <t>UNILEVER ANDINA COLOMBIA LTDA</t>
        </is>
      </c>
      <c r="E130" s="16" t="inlineStr">
        <is>
          <t>PMP1258595</t>
        </is>
      </c>
      <c r="F130" s="16" t="inlineStr">
        <is>
          <t>04/09/2025</t>
        </is>
      </c>
      <c r="G130" s="16" t="n">
        <v>1700020800</v>
      </c>
      <c r="H130" s="16" t="inlineStr">
        <is>
          <t>Nota</t>
        </is>
      </c>
      <c r="I130" s="16" t="inlineStr">
        <is>
          <t>05/09/2025</t>
        </is>
      </c>
      <c r="J130" s="16" t="n">
        <v>0</v>
      </c>
      <c r="K130" s="17" t="n">
        <v>6572042</v>
      </c>
      <c r="L130" s="16" t="inlineStr">
        <is>
          <t>Cota</t>
        </is>
      </c>
      <c r="M130" s="16" t="inlineStr">
        <is>
          <t>76-208160. DTO 8% CONFIDENCIAL UNILEVER-COTA</t>
        </is>
      </c>
      <c r="N130" s="18">
        <f>+M130</f>
        <v/>
      </c>
      <c r="O130" s="18" t="inlineStr">
        <is>
          <t>Ventas</t>
        </is>
      </c>
    </row>
    <row r="131">
      <c r="A131" s="16" t="n">
        <v>794</v>
      </c>
      <c r="B131" s="16" t="inlineStr">
        <is>
          <t>Pagado</t>
        </is>
      </c>
      <c r="C131" s="16" t="n">
        <v>860002518</v>
      </c>
      <c r="D131" s="16" t="inlineStr">
        <is>
          <t>UNILEVER ANDINA COLOMBIA LTDA</t>
        </is>
      </c>
      <c r="E131" s="16" t="inlineStr">
        <is>
          <t>PMP1258455</t>
        </is>
      </c>
      <c r="F131" s="16" t="inlineStr">
        <is>
          <t>04/09/2025</t>
        </is>
      </c>
      <c r="G131" s="16" t="n">
        <v>5100270397</v>
      </c>
      <c r="H131" s="16" t="inlineStr">
        <is>
          <t>Factura Acrededor</t>
        </is>
      </c>
      <c r="I131" s="16" t="inlineStr">
        <is>
          <t>03/07/2025</t>
        </is>
      </c>
      <c r="J131" s="16" t="n">
        <v>0</v>
      </c>
      <c r="K131" s="17" t="n">
        <v>-12092374</v>
      </c>
      <c r="L131" s="16" t="inlineStr">
        <is>
          <t>Bucaramanga ZF</t>
        </is>
      </c>
      <c r="M131" s="16" t="inlineStr">
        <is>
          <t>UNILEVER ANDINA COLOMBIA LTDA/CONCILIACION</t>
        </is>
      </c>
      <c r="N131" s="18">
        <f>+H131&amp;" "&amp; E131</f>
        <v/>
      </c>
      <c r="O131" s="18" t="inlineStr">
        <is>
          <t>Cartera</t>
        </is>
      </c>
    </row>
    <row r="132">
      <c r="A132" s="16" t="n">
        <v>795</v>
      </c>
      <c r="B132" s="16" t="inlineStr">
        <is>
          <t>Pagado</t>
        </is>
      </c>
      <c r="C132" s="16" t="n">
        <v>860002518</v>
      </c>
      <c r="D132" s="16" t="inlineStr">
        <is>
          <t>UNILEVER ANDINA COLOMBIA LTDA</t>
        </is>
      </c>
      <c r="E132" s="16" t="inlineStr">
        <is>
          <t>PMP1258456</t>
        </is>
      </c>
      <c r="F132" s="16" t="inlineStr">
        <is>
          <t>04/09/2025</t>
        </is>
      </c>
      <c r="G132" s="16" t="n">
        <v>5100270388</v>
      </c>
      <c r="H132" s="16" t="inlineStr">
        <is>
          <t>Reduc Factura Compra</t>
        </is>
      </c>
      <c r="I132" s="16" t="inlineStr">
        <is>
          <t>03/07/2025</t>
        </is>
      </c>
      <c r="J132" s="16" t="n">
        <v>0</v>
      </c>
      <c r="K132" s="17" t="n">
        <v>4373534</v>
      </c>
      <c r="L132" s="16" t="inlineStr">
        <is>
          <t>Bucaramanga ZF</t>
        </is>
      </c>
      <c r="M132" s="16" t="inlineStr">
        <is>
          <t>UNILEVER ANDINA COLOMBIA LTDA/CONCILIACION</t>
        </is>
      </c>
      <c r="N132" s="18">
        <f>+H132&amp;" "&amp;E132</f>
        <v/>
      </c>
      <c r="O132" s="18" t="inlineStr">
        <is>
          <t>Ventas</t>
        </is>
      </c>
    </row>
    <row r="133">
      <c r="A133" s="16" t="n">
        <v>796</v>
      </c>
      <c r="B133" s="16" t="inlineStr">
        <is>
          <t>Pagado</t>
        </is>
      </c>
      <c r="C133" s="16" t="n">
        <v>860002518</v>
      </c>
      <c r="D133" s="16" t="inlineStr">
        <is>
          <t>UNILEVER ANDINA COLOMBIA LTDA</t>
        </is>
      </c>
      <c r="E133" s="16" t="inlineStr">
        <is>
          <t>PMP1258456</t>
        </is>
      </c>
      <c r="F133" s="16" t="inlineStr">
        <is>
          <t>04/09/2025</t>
        </is>
      </c>
      <c r="G133" s="16" t="n">
        <v>1700020860</v>
      </c>
      <c r="H133" s="16" t="inlineStr">
        <is>
          <t>Nota</t>
        </is>
      </c>
      <c r="I133" s="16" t="inlineStr">
        <is>
          <t>07/09/2025</t>
        </is>
      </c>
      <c r="J133" s="16" t="n">
        <v>0</v>
      </c>
      <c r="K133" s="17" t="n">
        <v>440918</v>
      </c>
      <c r="L133" s="16" t="inlineStr">
        <is>
          <t>Bucaramanga ZF</t>
        </is>
      </c>
      <c r="M133" s="16" t="inlineStr">
        <is>
          <t>UNILEVER ANDINA COLOMBIA  DCTO 8% C/FIDENCIAL</t>
        </is>
      </c>
      <c r="N133" s="18">
        <f>+M133</f>
        <v/>
      </c>
      <c r="O133" s="18" t="inlineStr">
        <is>
          <t>Ventas</t>
        </is>
      </c>
    </row>
    <row r="134">
      <c r="A134" s="16" t="n">
        <v>797</v>
      </c>
      <c r="B134" s="16" t="inlineStr">
        <is>
          <t>Pagado</t>
        </is>
      </c>
      <c r="C134" s="16" t="n">
        <v>860002518</v>
      </c>
      <c r="D134" s="16" t="inlineStr">
        <is>
          <t>UNILEVER ANDINA COLOMBIA LTDA</t>
        </is>
      </c>
      <c r="E134" s="16" t="inlineStr">
        <is>
          <t>PMP1258456</t>
        </is>
      </c>
      <c r="F134" s="16" t="inlineStr">
        <is>
          <t>04/09/2025</t>
        </is>
      </c>
      <c r="G134" s="16" t="n">
        <v>5100270387</v>
      </c>
      <c r="H134" s="16" t="inlineStr">
        <is>
          <t>Factura Acrededor</t>
        </is>
      </c>
      <c r="I134" s="16" t="inlineStr">
        <is>
          <t>03/07/2025</t>
        </is>
      </c>
      <c r="J134" s="16" t="n">
        <v>0</v>
      </c>
      <c r="K134" s="17" t="n">
        <v>-10932183</v>
      </c>
      <c r="L134" s="16" t="inlineStr">
        <is>
          <t>Bucaramanga ZF</t>
        </is>
      </c>
      <c r="M134" s="16" t="inlineStr">
        <is>
          <t>UNILEVER ANDINA COLOMBIA LTDA/CONCILIACION</t>
        </is>
      </c>
      <c r="N134" s="18">
        <f>+H134&amp;" "&amp; E134</f>
        <v/>
      </c>
      <c r="O134" s="18" t="inlineStr">
        <is>
          <t>Cartera</t>
        </is>
      </c>
    </row>
    <row r="135">
      <c r="A135" s="16" t="n">
        <v>798</v>
      </c>
      <c r="B135" s="16" t="inlineStr">
        <is>
          <t>Pagado</t>
        </is>
      </c>
      <c r="C135" s="16" t="n">
        <v>860002518</v>
      </c>
      <c r="D135" s="16" t="inlineStr">
        <is>
          <t>UNILEVER ANDINA COLOMBIA LTDA</t>
        </is>
      </c>
      <c r="E135" s="16" t="inlineStr">
        <is>
          <t>PMP1258455</t>
        </is>
      </c>
      <c r="F135" s="16" t="inlineStr">
        <is>
          <t>04/09/2025</t>
        </is>
      </c>
      <c r="G135" s="16" t="n">
        <v>5100270398</v>
      </c>
      <c r="H135" s="16" t="inlineStr">
        <is>
          <t>Reduc Factura Compra</t>
        </is>
      </c>
      <c r="I135" s="16" t="inlineStr">
        <is>
          <t>03/07/2025</t>
        </is>
      </c>
      <c r="J135" s="16" t="n">
        <v>0</v>
      </c>
      <c r="K135" s="17" t="n">
        <v>4836820</v>
      </c>
      <c r="L135" s="16" t="inlineStr">
        <is>
          <t>Bucaramanga ZF</t>
        </is>
      </c>
      <c r="M135" s="16" t="inlineStr">
        <is>
          <t>UNILEVER ANDINA COLOMBIA LTDA/CONCILIACION</t>
        </is>
      </c>
      <c r="N135" s="18">
        <f>+H135&amp;" "&amp;E135</f>
        <v/>
      </c>
      <c r="O135" s="18" t="inlineStr">
        <is>
          <t>Ventas</t>
        </is>
      </c>
    </row>
    <row r="136">
      <c r="A136" s="16" t="n">
        <v>800</v>
      </c>
      <c r="B136" s="16" t="inlineStr">
        <is>
          <t>Pagado</t>
        </is>
      </c>
      <c r="C136" s="16" t="n">
        <v>860002518</v>
      </c>
      <c r="D136" s="16" t="inlineStr">
        <is>
          <t>UNILEVER ANDINA COLOMBIA LTDA</t>
        </is>
      </c>
      <c r="E136" s="16" t="inlineStr">
        <is>
          <t>PMP1259836</t>
        </is>
      </c>
      <c r="F136" s="16" t="inlineStr">
        <is>
          <t>04/09/2025</t>
        </is>
      </c>
      <c r="G136" s="16" t="n">
        <v>5100271620</v>
      </c>
      <c r="H136" s="16" t="inlineStr">
        <is>
          <t>Reduc Factura Compra</t>
        </is>
      </c>
      <c r="I136" s="16" t="inlineStr">
        <is>
          <t>06/07/2025</t>
        </is>
      </c>
      <c r="J136" s="16" t="n">
        <v>0</v>
      </c>
      <c r="K136" s="17" t="n">
        <v>10721231</v>
      </c>
      <c r="L136" s="16" t="inlineStr">
        <is>
          <t>Palmira</t>
        </is>
      </c>
      <c r="M136" s="16" t="inlineStr">
        <is>
          <t>UNILEVER ANDINA COLOMBIA LTDA</t>
        </is>
      </c>
      <c r="N136" s="18">
        <f>+H136&amp;" "&amp;E136</f>
        <v/>
      </c>
      <c r="O136" s="18" t="inlineStr">
        <is>
          <t>Ventas</t>
        </is>
      </c>
    </row>
    <row r="137">
      <c r="A137" s="16" t="n">
        <v>801</v>
      </c>
      <c r="B137" s="16" t="inlineStr">
        <is>
          <t>Pagado</t>
        </is>
      </c>
      <c r="C137" s="16" t="n">
        <v>860002518</v>
      </c>
      <c r="D137" s="16" t="inlineStr">
        <is>
          <t>UNILEVER ANDINA COLOMBIA LTDA</t>
        </is>
      </c>
      <c r="E137" s="16" t="inlineStr">
        <is>
          <t>PMP1259837</t>
        </is>
      </c>
      <c r="F137" s="16" t="inlineStr">
        <is>
          <t>04/09/2025</t>
        </is>
      </c>
      <c r="G137" s="16" t="n">
        <v>5100271629</v>
      </c>
      <c r="H137" s="16" t="inlineStr">
        <is>
          <t>Factura Acrededor</t>
        </is>
      </c>
      <c r="I137" s="16" t="inlineStr">
        <is>
          <t>06/07/2025</t>
        </is>
      </c>
      <c r="J137" s="16" t="n">
        <v>0</v>
      </c>
      <c r="K137" s="17" t="n">
        <v>-16185425</v>
      </c>
      <c r="L137" s="16" t="inlineStr">
        <is>
          <t>Palmira</t>
        </is>
      </c>
      <c r="M137" s="16" t="inlineStr">
        <is>
          <t>UNILEVER ANDINA COLOMBIA LTDA</t>
        </is>
      </c>
      <c r="N137" s="18">
        <f>+H137&amp;" "&amp; E137</f>
        <v/>
      </c>
      <c r="O137" s="18" t="inlineStr">
        <is>
          <t>Cartera</t>
        </is>
      </c>
    </row>
    <row r="138">
      <c r="A138" s="16" t="n">
        <v>802</v>
      </c>
      <c r="B138" s="16" t="inlineStr">
        <is>
          <t>Pagado</t>
        </is>
      </c>
      <c r="C138" s="16" t="n">
        <v>860002518</v>
      </c>
      <c r="D138" s="16" t="inlineStr">
        <is>
          <t>UNILEVER ANDINA COLOMBIA LTDA</t>
        </is>
      </c>
      <c r="E138" s="16" t="inlineStr">
        <is>
          <t>PMP1259837</t>
        </is>
      </c>
      <c r="F138" s="16" t="inlineStr">
        <is>
          <t>04/09/2025</t>
        </is>
      </c>
      <c r="G138" s="16" t="n">
        <v>5100271630</v>
      </c>
      <c r="H138" s="16" t="inlineStr">
        <is>
          <t>Reduc Factura Compra</t>
        </is>
      </c>
      <c r="I138" s="16" t="inlineStr">
        <is>
          <t>06/07/2025</t>
        </is>
      </c>
      <c r="J138" s="16" t="n">
        <v>0</v>
      </c>
      <c r="K138" s="17" t="n">
        <v>6474145</v>
      </c>
      <c r="L138" s="16" t="inlineStr">
        <is>
          <t>Palmira</t>
        </is>
      </c>
      <c r="M138" s="16" t="inlineStr">
        <is>
          <t>UNILEVER ANDINA COLOMBIA LTDA</t>
        </is>
      </c>
      <c r="N138" s="18">
        <f>+H138&amp;" "&amp;E138</f>
        <v/>
      </c>
      <c r="O138" s="18" t="inlineStr">
        <is>
          <t>Ventas</t>
        </is>
      </c>
    </row>
    <row r="139">
      <c r="A139" s="16" t="n">
        <v>803</v>
      </c>
      <c r="B139" s="16" t="inlineStr">
        <is>
          <t>Pagado</t>
        </is>
      </c>
      <c r="C139" s="16" t="n">
        <v>860002518</v>
      </c>
      <c r="D139" s="16" t="inlineStr">
        <is>
          <t>UNILEVER ANDINA COLOMBIA LTDA</t>
        </is>
      </c>
      <c r="E139" s="16" t="inlineStr">
        <is>
          <t>PMP1259836</t>
        </is>
      </c>
      <c r="F139" s="16" t="inlineStr">
        <is>
          <t>04/09/2025</t>
        </is>
      </c>
      <c r="G139" s="16" t="n">
        <v>5100271619</v>
      </c>
      <c r="H139" s="16" t="inlineStr">
        <is>
          <t>Factura Acrededor</t>
        </is>
      </c>
      <c r="I139" s="16" t="inlineStr">
        <is>
          <t>06/07/2025</t>
        </is>
      </c>
      <c r="J139" s="16" t="n">
        <v>0</v>
      </c>
      <c r="K139" s="17" t="n">
        <v>-26804521</v>
      </c>
      <c r="L139" s="16" t="inlineStr">
        <is>
          <t>Palmira</t>
        </is>
      </c>
      <c r="M139" s="16" t="inlineStr">
        <is>
          <t>UNILEVER ANDINA COLOMBIA LTDA</t>
        </is>
      </c>
      <c r="N139" s="18">
        <f>+H139&amp;" "&amp; E139</f>
        <v/>
      </c>
      <c r="O139" s="18" t="inlineStr">
        <is>
          <t>Cartera</t>
        </is>
      </c>
    </row>
    <row r="140">
      <c r="A140" s="16" t="n">
        <v>817</v>
      </c>
      <c r="B140" s="16" t="inlineStr">
        <is>
          <t>Pagado</t>
        </is>
      </c>
      <c r="C140" s="16" t="n">
        <v>860002518</v>
      </c>
      <c r="D140" s="16" t="inlineStr">
        <is>
          <t>UNILEVER ANDINA COLOMBIA LTDA</t>
        </is>
      </c>
      <c r="E140" s="16" t="inlineStr">
        <is>
          <t>PMP1258284</t>
        </is>
      </c>
      <c r="F140" s="16" t="inlineStr">
        <is>
          <t>04/09/2025</t>
        </is>
      </c>
      <c r="G140" s="16" t="n">
        <v>1700021021</v>
      </c>
      <c r="H140" s="16" t="inlineStr">
        <is>
          <t>Nota</t>
        </is>
      </c>
      <c r="I140" s="16" t="inlineStr">
        <is>
          <t>08/09/2025</t>
        </is>
      </c>
      <c r="J140" s="16" t="n">
        <v>0</v>
      </c>
      <c r="K140" s="17" t="n">
        <v>780015</v>
      </c>
      <c r="L140" s="16" t="inlineStr">
        <is>
          <t>Barranquilla</t>
        </is>
      </c>
      <c r="M140" s="16" t="inlineStr">
        <is>
          <t>7600208160 DESCUENTO CONFIDENCIAL 8% B/QUILLA</t>
        </is>
      </c>
      <c r="N140" s="18">
        <f>+M140</f>
        <v/>
      </c>
      <c r="O140" s="18" t="inlineStr">
        <is>
          <t>Ventas</t>
        </is>
      </c>
    </row>
    <row r="141">
      <c r="A141" s="16" t="n">
        <v>818</v>
      </c>
      <c r="B141" s="16" t="inlineStr">
        <is>
          <t>Pagado</t>
        </is>
      </c>
      <c r="C141" s="16" t="n">
        <v>860002518</v>
      </c>
      <c r="D141" s="16" t="inlineStr">
        <is>
          <t>UNILEVER ANDINA COLOMBIA LTDA</t>
        </is>
      </c>
      <c r="E141" s="16" t="inlineStr">
        <is>
          <t>PMP1258285</t>
        </is>
      </c>
      <c r="F141" s="16" t="inlineStr">
        <is>
          <t>04/09/2025</t>
        </is>
      </c>
      <c r="G141" s="16" t="n">
        <v>5100274386</v>
      </c>
      <c r="H141" s="16" t="inlineStr">
        <is>
          <t>Factura Acrededor</t>
        </is>
      </c>
      <c r="I141" s="16" t="inlineStr">
        <is>
          <t>03/07/2025</t>
        </is>
      </c>
      <c r="J141" s="16" t="n">
        <v>0</v>
      </c>
      <c r="K141" s="17" t="n">
        <v>-13208795</v>
      </c>
      <c r="L141" s="16" t="inlineStr">
        <is>
          <t>Barranquilla</t>
        </is>
      </c>
      <c r="M141" s="16" t="inlineStr">
        <is>
          <t>UNILEVER ANDINA COLOMBIA LTDA</t>
        </is>
      </c>
      <c r="N141" s="18">
        <f>+H141&amp;" "&amp; E141</f>
        <v/>
      </c>
      <c r="O141" s="18" t="inlineStr">
        <is>
          <t>Cartera</t>
        </is>
      </c>
    </row>
    <row r="142">
      <c r="A142" s="16" t="n">
        <v>819</v>
      </c>
      <c r="B142" s="16" t="inlineStr">
        <is>
          <t>Pagado</t>
        </is>
      </c>
      <c r="C142" s="16" t="n">
        <v>860002518</v>
      </c>
      <c r="D142" s="16" t="inlineStr">
        <is>
          <t>UNILEVER ANDINA COLOMBIA LTDA</t>
        </is>
      </c>
      <c r="E142" s="16" t="inlineStr">
        <is>
          <t>PMP1258285</t>
        </is>
      </c>
      <c r="F142" s="16" t="inlineStr">
        <is>
          <t>04/09/2025</t>
        </is>
      </c>
      <c r="G142" s="16" t="n">
        <v>5100274387</v>
      </c>
      <c r="H142" s="16" t="inlineStr">
        <is>
          <t>Reduc Factura Compra</t>
        </is>
      </c>
      <c r="I142" s="16" t="inlineStr">
        <is>
          <t>03/07/2025</t>
        </is>
      </c>
      <c r="J142" s="16" t="n">
        <v>0</v>
      </c>
      <c r="K142" s="17" t="n">
        <v>5283496</v>
      </c>
      <c r="L142" s="16" t="inlineStr">
        <is>
          <t>Barranquilla</t>
        </is>
      </c>
      <c r="M142" s="16" t="inlineStr">
        <is>
          <t>UNILEVER ANDINA COLOMBIA LTDA</t>
        </is>
      </c>
      <c r="N142" s="18">
        <f>+H142&amp;" "&amp;E142</f>
        <v/>
      </c>
      <c r="O142" s="18" t="inlineStr">
        <is>
          <t>Ventas</t>
        </is>
      </c>
    </row>
    <row r="143">
      <c r="A143" s="16" t="n">
        <v>820</v>
      </c>
      <c r="B143" s="16" t="inlineStr">
        <is>
          <t>Pagado</t>
        </is>
      </c>
      <c r="C143" s="16" t="n">
        <v>860002518</v>
      </c>
      <c r="D143" s="16" t="inlineStr">
        <is>
          <t>UNILEVER ANDINA COLOMBIA LTDA</t>
        </is>
      </c>
      <c r="E143" s="16" t="inlineStr">
        <is>
          <t>PMP1258284</t>
        </is>
      </c>
      <c r="F143" s="16" t="inlineStr">
        <is>
          <t>04/09/2025</t>
        </is>
      </c>
      <c r="G143" s="16" t="n">
        <v>5100274388</v>
      </c>
      <c r="H143" s="16" t="inlineStr">
        <is>
          <t>Factura Acrededor</t>
        </is>
      </c>
      <c r="I143" s="16" t="inlineStr">
        <is>
          <t>03/07/2025</t>
        </is>
      </c>
      <c r="J143" s="16" t="n">
        <v>0</v>
      </c>
      <c r="K143" s="17" t="n">
        <v>-19341770</v>
      </c>
      <c r="L143" s="16" t="inlineStr">
        <is>
          <t>Barranquilla</t>
        </is>
      </c>
      <c r="M143" s="16" t="inlineStr">
        <is>
          <t>UNILEVER ANDINA COLOMBIA LTDA</t>
        </is>
      </c>
      <c r="N143" s="18">
        <f>+H143&amp;" "&amp; E143</f>
        <v/>
      </c>
      <c r="O143" s="18" t="inlineStr">
        <is>
          <t>Cartera</t>
        </is>
      </c>
    </row>
    <row r="144">
      <c r="A144" s="16" t="n">
        <v>821</v>
      </c>
      <c r="B144" s="16" t="inlineStr">
        <is>
          <t>Pagado</t>
        </is>
      </c>
      <c r="C144" s="16" t="n">
        <v>860002518</v>
      </c>
      <c r="D144" s="16" t="inlineStr">
        <is>
          <t>UNILEVER ANDINA COLOMBIA LTDA</t>
        </is>
      </c>
      <c r="E144" s="16" t="inlineStr">
        <is>
          <t>PMP1258284</t>
        </is>
      </c>
      <c r="F144" s="16" t="inlineStr">
        <is>
          <t>04/09/2025</t>
        </is>
      </c>
      <c r="G144" s="16" t="n">
        <v>5100274389</v>
      </c>
      <c r="H144" s="16" t="inlineStr">
        <is>
          <t>Reduc Factura Compra</t>
        </is>
      </c>
      <c r="I144" s="16" t="inlineStr">
        <is>
          <t>03/07/2025</t>
        </is>
      </c>
      <c r="J144" s="16" t="n">
        <v>0</v>
      </c>
      <c r="K144" s="17" t="n">
        <v>7736347</v>
      </c>
      <c r="L144" s="16" t="inlineStr">
        <is>
          <t>Barranquilla</t>
        </is>
      </c>
      <c r="M144" s="16" t="inlineStr">
        <is>
          <t>UNILEVER ANDINA COLOMBIA LTDA</t>
        </is>
      </c>
      <c r="N144" s="18">
        <f>+H144&amp;" "&amp;E144</f>
        <v/>
      </c>
      <c r="O144" s="18" t="inlineStr">
        <is>
          <t>Ventas</t>
        </is>
      </c>
    </row>
    <row r="145">
      <c r="A145" s="16" t="n">
        <v>878</v>
      </c>
      <c r="B145" s="16" t="inlineStr">
        <is>
          <t>Pagado</t>
        </is>
      </c>
      <c r="C145" s="16" t="n">
        <v>860002518</v>
      </c>
      <c r="D145" s="16" t="inlineStr">
        <is>
          <t>UNILEVER ANDINA COLOMBIA LTDA</t>
        </is>
      </c>
      <c r="E145" s="16" t="inlineStr">
        <is>
          <t>PMP1259836</t>
        </is>
      </c>
      <c r="F145" s="16" t="inlineStr">
        <is>
          <t>04/09/2025</t>
        </is>
      </c>
      <c r="G145" s="16" t="n">
        <v>1700022529</v>
      </c>
      <c r="H145" s="16" t="inlineStr">
        <is>
          <t>Nota</t>
        </is>
      </c>
      <c r="I145" s="16" t="inlineStr">
        <is>
          <t>05/09/2025</t>
        </is>
      </c>
      <c r="J145" s="16" t="n">
        <v>0</v>
      </c>
      <c r="K145" s="17" t="n">
        <v>1081229</v>
      </c>
      <c r="L145" s="16" t="inlineStr">
        <is>
          <t>Palmira</t>
        </is>
      </c>
      <c r="M145" s="16" t="inlineStr">
        <is>
          <t>UNILEVER ANDINA COLOMBIA LTDA 0,08 Confidencial</t>
        </is>
      </c>
      <c r="N145" s="18">
        <f>+M145</f>
        <v/>
      </c>
      <c r="O145" s="18" t="inlineStr">
        <is>
          <t>Ventas</t>
        </is>
      </c>
    </row>
    <row r="146">
      <c r="A146" s="16" t="n">
        <v>900</v>
      </c>
      <c r="B146" s="16" t="inlineStr">
        <is>
          <t>Pagado</t>
        </is>
      </c>
      <c r="C146" s="16" t="n">
        <v>860002518</v>
      </c>
      <c r="D146" s="16" t="inlineStr">
        <is>
          <t>UNILEVER ANDINA COLOMBIA LTDA</t>
        </is>
      </c>
      <c r="E146" s="16" t="inlineStr">
        <is>
          <t>PMP1269413</t>
        </is>
      </c>
      <c r="F146" s="16" t="inlineStr">
        <is>
          <t>02/09/2025</t>
        </is>
      </c>
      <c r="G146" s="16" t="n">
        <v>5100298241</v>
      </c>
      <c r="H146" s="16" t="inlineStr">
        <is>
          <t>Factura Acrededor</t>
        </is>
      </c>
      <c r="I146" s="16" t="inlineStr">
        <is>
          <t>30/07/2025</t>
        </is>
      </c>
      <c r="J146" s="16" t="n">
        <v>0</v>
      </c>
      <c r="K146" s="17" t="n">
        <v>-3339949</v>
      </c>
      <c r="L146" s="16" t="inlineStr">
        <is>
          <t>Bucaramanga ZF</t>
        </is>
      </c>
      <c r="M146" s="16" t="inlineStr">
        <is>
          <t>UNILEVER ANDINA COLOMBIA LTDA/CONCILIACION</t>
        </is>
      </c>
      <c r="N146" s="18">
        <f>+H146&amp;" "&amp; E146</f>
        <v/>
      </c>
      <c r="O146" s="18" t="inlineStr">
        <is>
          <t>Cartera</t>
        </is>
      </c>
    </row>
    <row r="147">
      <c r="A147" s="16" t="n">
        <v>901</v>
      </c>
      <c r="B147" s="16" t="inlineStr">
        <is>
          <t>Pagado</t>
        </is>
      </c>
      <c r="C147" s="16" t="n">
        <v>860002518</v>
      </c>
      <c r="D147" s="16" t="inlineStr">
        <is>
          <t>UNILEVER ANDINA COLOMBIA LTDA</t>
        </is>
      </c>
      <c r="E147" s="16" t="inlineStr">
        <is>
          <t>PMP1269413</t>
        </is>
      </c>
      <c r="F147" s="16" t="inlineStr">
        <is>
          <t>02/09/2025</t>
        </is>
      </c>
      <c r="G147" s="16" t="n">
        <v>5100298242</v>
      </c>
      <c r="H147" s="16" t="inlineStr">
        <is>
          <t>Reduc Factura Compra</t>
        </is>
      </c>
      <c r="I147" s="16" t="inlineStr">
        <is>
          <t>30/07/2025</t>
        </is>
      </c>
      <c r="J147" s="16" t="n">
        <v>0</v>
      </c>
      <c r="K147" s="17" t="n">
        <v>1335894</v>
      </c>
      <c r="L147" s="16" t="inlineStr">
        <is>
          <t>Bucaramanga ZF</t>
        </is>
      </c>
      <c r="M147" s="16" t="inlineStr">
        <is>
          <t>UNILEVER ANDINA COLOMBIA LTDA/CONCILIACION</t>
        </is>
      </c>
      <c r="N147" s="18">
        <f>+H147&amp;" "&amp;E147</f>
        <v/>
      </c>
      <c r="O147" s="18" t="inlineStr">
        <is>
          <t>Ventas</t>
        </is>
      </c>
    </row>
    <row r="148">
      <c r="A148" s="16" t="n">
        <v>902</v>
      </c>
      <c r="B148" s="16" t="inlineStr">
        <is>
          <t>Pagado</t>
        </is>
      </c>
      <c r="C148" s="16" t="n">
        <v>860002518</v>
      </c>
      <c r="D148" s="16" t="inlineStr">
        <is>
          <t>UNILEVER ANDINA COLOMBIA LTDA</t>
        </is>
      </c>
      <c r="E148" s="16" t="inlineStr">
        <is>
          <t>PMP1269223</t>
        </is>
      </c>
      <c r="F148" s="16" t="inlineStr">
        <is>
          <t>02/09/2025</t>
        </is>
      </c>
      <c r="G148" s="16" t="n">
        <v>5100298749</v>
      </c>
      <c r="H148" s="16" t="inlineStr">
        <is>
          <t>Factura Acrededor</t>
        </is>
      </c>
      <c r="I148" s="16" t="inlineStr">
        <is>
          <t>30/07/2025</t>
        </is>
      </c>
      <c r="J148" s="16" t="n">
        <v>0</v>
      </c>
      <c r="K148" s="17" t="n">
        <v>-7748682</v>
      </c>
      <c r="L148" s="16" t="inlineStr">
        <is>
          <t>Barranquilla</t>
        </is>
      </c>
      <c r="M148" s="16" t="inlineStr">
        <is>
          <t>UNILEVER ANDINA COLOMBIA LTDA</t>
        </is>
      </c>
      <c r="N148" s="18">
        <f>+H148&amp;" "&amp; E148</f>
        <v/>
      </c>
      <c r="O148" s="18" t="inlineStr">
        <is>
          <t>Cartera</t>
        </is>
      </c>
    </row>
    <row r="149">
      <c r="A149" s="16" t="n">
        <v>903</v>
      </c>
      <c r="B149" s="16" t="inlineStr">
        <is>
          <t>Pagado</t>
        </is>
      </c>
      <c r="C149" s="16" t="n">
        <v>860002518</v>
      </c>
      <c r="D149" s="16" t="inlineStr">
        <is>
          <t>UNILEVER ANDINA COLOMBIA LTDA</t>
        </is>
      </c>
      <c r="E149" s="16" t="inlineStr">
        <is>
          <t>PMP1269223</t>
        </is>
      </c>
      <c r="F149" s="16" t="inlineStr">
        <is>
          <t>02/09/2025</t>
        </is>
      </c>
      <c r="G149" s="16" t="n">
        <v>5100298750</v>
      </c>
      <c r="H149" s="16" t="inlineStr">
        <is>
          <t>Reduc Factura Compra</t>
        </is>
      </c>
      <c r="I149" s="16" t="inlineStr">
        <is>
          <t>30/07/2025</t>
        </is>
      </c>
      <c r="J149" s="16" t="n">
        <v>0</v>
      </c>
      <c r="K149" s="17" t="n">
        <v>3099274</v>
      </c>
      <c r="L149" s="16" t="inlineStr">
        <is>
          <t>Barranquilla</t>
        </is>
      </c>
      <c r="M149" s="16" t="inlineStr">
        <is>
          <t>UNILEVER ANDINA COLOMBIA LTDA</t>
        </is>
      </c>
      <c r="N149" s="18">
        <f>+H149&amp;" "&amp;E149</f>
        <v/>
      </c>
      <c r="O149" s="18" t="inlineStr">
        <is>
          <t>Ventas</t>
        </is>
      </c>
    </row>
    <row r="150">
      <c r="A150" s="16" t="n">
        <v>904</v>
      </c>
      <c r="B150" s="16" t="inlineStr">
        <is>
          <t>Pagado</t>
        </is>
      </c>
      <c r="C150" s="16" t="n">
        <v>860002518</v>
      </c>
      <c r="D150" s="16" t="inlineStr">
        <is>
          <t>UNILEVER ANDINA COLOMBIA LTDA</t>
        </is>
      </c>
      <c r="E150" s="16" t="inlineStr">
        <is>
          <t>PMP1265901</t>
        </is>
      </c>
      <c r="F150" s="16" t="inlineStr">
        <is>
          <t>02/09/2025</t>
        </is>
      </c>
      <c r="G150" s="16" t="n">
        <v>5100298923</v>
      </c>
      <c r="H150" s="16" t="inlineStr">
        <is>
          <t>Factura Acrededor</t>
        </is>
      </c>
      <c r="I150" s="16" t="inlineStr">
        <is>
          <t>22/07/2025</t>
        </is>
      </c>
      <c r="J150" s="16" t="n">
        <v>0</v>
      </c>
      <c r="K150" s="17" t="n">
        <v>-37214451</v>
      </c>
      <c r="L150" s="16" t="inlineStr">
        <is>
          <t>Barranquilla</t>
        </is>
      </c>
      <c r="M150" s="16" t="inlineStr">
        <is>
          <t>UNILEVER ANDINA COLOMBIA LTDA</t>
        </is>
      </c>
      <c r="N150" s="18">
        <f>+H150&amp;" "&amp; E150</f>
        <v/>
      </c>
      <c r="O150" s="18" t="inlineStr">
        <is>
          <t>Cartera</t>
        </is>
      </c>
    </row>
    <row r="151">
      <c r="A151" s="16" t="n">
        <v>905</v>
      </c>
      <c r="B151" s="16" t="inlineStr">
        <is>
          <t>Pagado</t>
        </is>
      </c>
      <c r="C151" s="16" t="n">
        <v>860002518</v>
      </c>
      <c r="D151" s="16" t="inlineStr">
        <is>
          <t>UNILEVER ANDINA COLOMBIA LTDA</t>
        </is>
      </c>
      <c r="E151" s="16" t="inlineStr">
        <is>
          <t>PMP1265901</t>
        </is>
      </c>
      <c r="F151" s="16" t="inlineStr">
        <is>
          <t>02/09/2025</t>
        </is>
      </c>
      <c r="G151" s="16" t="n">
        <v>5100298924</v>
      </c>
      <c r="H151" s="16" t="inlineStr">
        <is>
          <t>Reduc Factura Compra</t>
        </is>
      </c>
      <c r="I151" s="16" t="inlineStr">
        <is>
          <t>22/07/2025</t>
        </is>
      </c>
      <c r="J151" s="16" t="n">
        <v>0</v>
      </c>
      <c r="K151" s="17" t="n">
        <v>358815</v>
      </c>
      <c r="L151" s="16" t="inlineStr">
        <is>
          <t>Barranquilla</t>
        </is>
      </c>
      <c r="M151" s="16" t="inlineStr">
        <is>
          <t>UNILEVER ANDINA COLOMBIA LTDA</t>
        </is>
      </c>
      <c r="N151" s="18">
        <f>+H151&amp;" "&amp;E151</f>
        <v/>
      </c>
      <c r="O151" s="18" t="inlineStr">
        <is>
          <t>Ventas</t>
        </is>
      </c>
    </row>
    <row r="152">
      <c r="A152" s="16" t="n">
        <v>907</v>
      </c>
      <c r="B152" s="16" t="inlineStr">
        <is>
          <t>Pagado</t>
        </is>
      </c>
      <c r="C152" s="16" t="n">
        <v>860002518</v>
      </c>
      <c r="D152" s="16" t="inlineStr">
        <is>
          <t>UNILEVER ANDINA COLOMBIA LTDA</t>
        </is>
      </c>
      <c r="E152" s="16" t="inlineStr">
        <is>
          <t>PMP1270598</t>
        </is>
      </c>
      <c r="F152" s="16" t="inlineStr">
        <is>
          <t>04/09/2025</t>
        </is>
      </c>
      <c r="G152" s="16" t="n">
        <v>5100300353</v>
      </c>
      <c r="H152" s="16" t="inlineStr">
        <is>
          <t>Factura Acrededor</t>
        </is>
      </c>
      <c r="I152" s="16" t="inlineStr">
        <is>
          <t>05/08/2025</t>
        </is>
      </c>
      <c r="J152" s="16" t="n">
        <v>0</v>
      </c>
      <c r="K152" s="17" t="n">
        <v>-12869064</v>
      </c>
      <c r="L152" s="16" t="inlineStr">
        <is>
          <t>Palmira</t>
        </is>
      </c>
      <c r="M152" s="16" t="inlineStr">
        <is>
          <t>UNILEVER ANDINA COLOMBIA LTDA</t>
        </is>
      </c>
      <c r="N152" s="18">
        <f>+H152&amp;" "&amp; E152</f>
        <v/>
      </c>
      <c r="O152" s="18" t="inlineStr">
        <is>
          <t>Cartera</t>
        </is>
      </c>
    </row>
    <row r="153">
      <c r="A153" s="16" t="n">
        <v>908</v>
      </c>
      <c r="B153" s="16" t="inlineStr">
        <is>
          <t>Pagado</t>
        </is>
      </c>
      <c r="C153" s="16" t="n">
        <v>860002518</v>
      </c>
      <c r="D153" s="16" t="inlineStr">
        <is>
          <t>UNILEVER ANDINA COLOMBIA LTDA</t>
        </is>
      </c>
      <c r="E153" s="16" t="inlineStr">
        <is>
          <t>PMP1269965</t>
        </is>
      </c>
      <c r="F153" s="16" t="inlineStr">
        <is>
          <t>04/09/2025</t>
        </is>
      </c>
      <c r="G153" s="16" t="n">
        <v>5100300331</v>
      </c>
      <c r="H153" s="16" t="inlineStr">
        <is>
          <t>Reduc Factura Compra</t>
        </is>
      </c>
      <c r="I153" s="16" t="inlineStr">
        <is>
          <t>02/08/2025</t>
        </is>
      </c>
      <c r="J153" s="16" t="n">
        <v>0</v>
      </c>
      <c r="K153" s="17" t="n">
        <v>212749</v>
      </c>
      <c r="M153" s="16" t="inlineStr">
        <is>
          <t>UNILEVER ANDINA COLOMBIA LTDA/conciliaicon</t>
        </is>
      </c>
      <c r="N153" s="18">
        <f>+H153&amp;" "&amp;E153</f>
        <v/>
      </c>
      <c r="O153" s="18" t="inlineStr">
        <is>
          <t>Ventas</t>
        </is>
      </c>
    </row>
    <row r="154">
      <c r="A154" s="16" t="n">
        <v>909</v>
      </c>
      <c r="B154" s="16" t="inlineStr">
        <is>
          <t>Pagado</t>
        </is>
      </c>
      <c r="C154" s="16" t="n">
        <v>860002518</v>
      </c>
      <c r="D154" s="16" t="inlineStr">
        <is>
          <t>UNILEVER ANDINA COLOMBIA LTDA</t>
        </is>
      </c>
      <c r="E154" s="16" t="inlineStr">
        <is>
          <t>PMP1270595</t>
        </is>
      </c>
      <c r="F154" s="16" t="inlineStr">
        <is>
          <t>04/09/2025</t>
        </is>
      </c>
      <c r="G154" s="16" t="n">
        <v>5100300447</v>
      </c>
      <c r="H154" s="16" t="inlineStr">
        <is>
          <t>Factura Acrededor</t>
        </is>
      </c>
      <c r="I154" s="16" t="inlineStr">
        <is>
          <t>05/08/2025</t>
        </is>
      </c>
      <c r="J154" s="16" t="n">
        <v>0</v>
      </c>
      <c r="K154" s="17" t="n">
        <v>-3406748</v>
      </c>
      <c r="L154" s="16" t="inlineStr">
        <is>
          <t>Palmira</t>
        </is>
      </c>
      <c r="M154" s="16" t="inlineStr">
        <is>
          <t>UNILEVER ANDINA COLOMBIA LTDA</t>
        </is>
      </c>
      <c r="N154" s="18">
        <f>+H154&amp;" "&amp; E154</f>
        <v/>
      </c>
      <c r="O154" s="18" t="inlineStr">
        <is>
          <t>Cartera</t>
        </is>
      </c>
    </row>
    <row r="155">
      <c r="A155" s="16" t="n">
        <v>910</v>
      </c>
      <c r="B155" s="16" t="inlineStr">
        <is>
          <t>Pagado</t>
        </is>
      </c>
      <c r="C155" s="16" t="n">
        <v>860002518</v>
      </c>
      <c r="D155" s="16" t="inlineStr">
        <is>
          <t>UNILEVER ANDINA COLOMBIA LTDA</t>
        </is>
      </c>
      <c r="E155" s="16" t="inlineStr">
        <is>
          <t>PMP1270595</t>
        </is>
      </c>
      <c r="F155" s="16" t="inlineStr">
        <is>
          <t>04/09/2025</t>
        </is>
      </c>
      <c r="G155" s="16" t="n">
        <v>5100300448</v>
      </c>
      <c r="H155" s="16" t="inlineStr">
        <is>
          <t>Reduc Factura Compra</t>
        </is>
      </c>
      <c r="I155" s="16" t="inlineStr">
        <is>
          <t>05/08/2025</t>
        </is>
      </c>
      <c r="J155" s="16" t="n">
        <v>0</v>
      </c>
      <c r="K155" s="17" t="n">
        <v>1362612</v>
      </c>
      <c r="L155" s="16" t="inlineStr">
        <is>
          <t>Palmira</t>
        </is>
      </c>
      <c r="M155" s="16" t="inlineStr">
        <is>
          <t>UNILEVER ANDINA COLOMBIA LTDA</t>
        </is>
      </c>
      <c r="N155" s="18">
        <f>+H155&amp;" "&amp;E155</f>
        <v/>
      </c>
      <c r="O155" s="18" t="inlineStr">
        <is>
          <t>Ventas</t>
        </is>
      </c>
    </row>
    <row r="156">
      <c r="A156" s="16" t="n">
        <v>912</v>
      </c>
      <c r="B156" s="16" t="inlineStr">
        <is>
          <t>Pagado</t>
        </is>
      </c>
      <c r="C156" s="16" t="n">
        <v>860002518</v>
      </c>
      <c r="D156" s="16" t="inlineStr">
        <is>
          <t>UNILEVER ANDINA COLOMBIA LTDA</t>
        </is>
      </c>
      <c r="E156" s="16" t="inlineStr">
        <is>
          <t>PMP1269965</t>
        </is>
      </c>
      <c r="F156" s="16" t="inlineStr">
        <is>
          <t>04/09/2025</t>
        </is>
      </c>
      <c r="G156" s="16" t="n">
        <v>5100300330</v>
      </c>
      <c r="H156" s="16" t="inlineStr">
        <is>
          <t>Factura Acrededor</t>
        </is>
      </c>
      <c r="I156" s="16" t="inlineStr">
        <is>
          <t>02/08/2025</t>
        </is>
      </c>
      <c r="J156" s="16" t="n">
        <v>0</v>
      </c>
      <c r="K156" s="17" t="n">
        <v>-24626817</v>
      </c>
      <c r="M156" s="16" t="inlineStr">
        <is>
          <t>UNILEVER ANDINA COLOMBIA LTDA/conciliaicon</t>
        </is>
      </c>
      <c r="N156" s="18">
        <f>+H156&amp;" "&amp; E156</f>
        <v/>
      </c>
      <c r="O156" s="18" t="inlineStr">
        <is>
          <t>Cartera</t>
        </is>
      </c>
    </row>
    <row r="157">
      <c r="A157" s="16" t="n">
        <v>914</v>
      </c>
      <c r="B157" s="16" t="inlineStr">
        <is>
          <t>Pagado</t>
        </is>
      </c>
      <c r="C157" s="16" t="n">
        <v>860002518</v>
      </c>
      <c r="D157" s="16" t="inlineStr">
        <is>
          <t>UNILEVER ANDINA COLOMBIA LTDA</t>
        </is>
      </c>
      <c r="E157" s="16" t="inlineStr">
        <is>
          <t>PMP1270164</t>
        </is>
      </c>
      <c r="F157" s="16" t="inlineStr">
        <is>
          <t>04/09/2025</t>
        </is>
      </c>
      <c r="G157" s="16" t="n">
        <v>5100302300</v>
      </c>
      <c r="H157" s="16" t="inlineStr">
        <is>
          <t>Factura Acrededor</t>
        </is>
      </c>
      <c r="I157" s="16" t="inlineStr">
        <is>
          <t>03/08/2025</t>
        </is>
      </c>
      <c r="J157" s="16" t="n">
        <v>0</v>
      </c>
      <c r="K157" s="17" t="n">
        <v>-2605159</v>
      </c>
      <c r="L157" s="16" t="inlineStr">
        <is>
          <t>Cerritos</t>
        </is>
      </c>
      <c r="N157" s="18">
        <f>+H157&amp;" "&amp; E157</f>
        <v/>
      </c>
      <c r="O157" s="18" t="inlineStr">
        <is>
          <t>Cartera</t>
        </is>
      </c>
    </row>
    <row r="158">
      <c r="A158" s="16" t="n">
        <v>915</v>
      </c>
      <c r="B158" s="16" t="inlineStr">
        <is>
          <t>Pagado</t>
        </is>
      </c>
      <c r="C158" s="16" t="n">
        <v>860002518</v>
      </c>
      <c r="D158" s="16" t="inlineStr">
        <is>
          <t>UNILEVER ANDINA COLOMBIA LTDA</t>
        </is>
      </c>
      <c r="E158" s="16" t="inlineStr">
        <is>
          <t>PMP1270164</t>
        </is>
      </c>
      <c r="F158" s="16" t="inlineStr">
        <is>
          <t>04/09/2025</t>
        </is>
      </c>
      <c r="G158" s="16" t="n">
        <v>5100302301</v>
      </c>
      <c r="H158" s="16" t="inlineStr">
        <is>
          <t>Reduc Factura Compra</t>
        </is>
      </c>
      <c r="I158" s="16" t="inlineStr">
        <is>
          <t>03/08/2025</t>
        </is>
      </c>
      <c r="J158" s="16" t="n">
        <v>0</v>
      </c>
      <c r="K158" s="17" t="n">
        <v>1041997</v>
      </c>
      <c r="L158" s="16" t="inlineStr">
        <is>
          <t>Cerritos</t>
        </is>
      </c>
      <c r="N158" s="18">
        <f>+H158&amp;" "&amp;E158</f>
        <v/>
      </c>
      <c r="O158" s="18" t="inlineStr">
        <is>
          <t>Ventas</t>
        </is>
      </c>
    </row>
    <row r="159">
      <c r="A159" s="16" t="n">
        <v>916</v>
      </c>
      <c r="B159" s="16" t="inlineStr">
        <is>
          <t>Pagado</t>
        </is>
      </c>
      <c r="C159" s="16" t="n">
        <v>860002518</v>
      </c>
      <c r="D159" s="16" t="inlineStr">
        <is>
          <t>UNILEVER ANDINA COLOMBIA LTDA</t>
        </is>
      </c>
      <c r="E159" s="16" t="inlineStr">
        <is>
          <t>PMP1270167</t>
        </is>
      </c>
      <c r="F159" s="16" t="inlineStr">
        <is>
          <t>04/09/2025</t>
        </is>
      </c>
      <c r="G159" s="16" t="n">
        <v>5100302496</v>
      </c>
      <c r="H159" s="16" t="inlineStr">
        <is>
          <t>Factura Acrededor</t>
        </is>
      </c>
      <c r="I159" s="16" t="inlineStr">
        <is>
          <t>03/08/2025</t>
        </is>
      </c>
      <c r="J159" s="16" t="n">
        <v>0</v>
      </c>
      <c r="K159" s="17" t="n">
        <v>-6758861</v>
      </c>
      <c r="L159" s="16" t="inlineStr">
        <is>
          <t>Cerritos</t>
        </is>
      </c>
      <c r="N159" s="18">
        <f>+H159&amp;" "&amp; E159</f>
        <v/>
      </c>
      <c r="O159" s="18" t="inlineStr">
        <is>
          <t>Cartera</t>
        </is>
      </c>
    </row>
    <row r="160">
      <c r="A160" s="16" t="n">
        <v>917</v>
      </c>
      <c r="B160" s="16" t="inlineStr">
        <is>
          <t>Pagado</t>
        </is>
      </c>
      <c r="C160" s="16" t="n">
        <v>860002518</v>
      </c>
      <c r="D160" s="16" t="inlineStr">
        <is>
          <t>UNILEVER ANDINA COLOMBIA LTDA</t>
        </is>
      </c>
      <c r="E160" s="16" t="inlineStr">
        <is>
          <t>PMP1269765</t>
        </is>
      </c>
      <c r="F160" s="16" t="inlineStr">
        <is>
          <t>04/09/2025</t>
        </is>
      </c>
      <c r="G160" s="16" t="n">
        <v>5100302732</v>
      </c>
      <c r="H160" s="16" t="inlineStr">
        <is>
          <t>Factura Acrededor</t>
        </is>
      </c>
      <c r="I160" s="16" t="inlineStr">
        <is>
          <t>02/08/2025</t>
        </is>
      </c>
      <c r="J160" s="16" t="n">
        <v>0</v>
      </c>
      <c r="K160" s="17" t="n">
        <v>-4308838</v>
      </c>
      <c r="L160" s="16" t="inlineStr">
        <is>
          <t>Bucaramanga ZF</t>
        </is>
      </c>
      <c r="M160" s="16" t="inlineStr">
        <is>
          <t>UNILEVER ANDINA COLOMBIA LTDA</t>
        </is>
      </c>
      <c r="N160" s="18">
        <f>+H160&amp;" "&amp; E160</f>
        <v/>
      </c>
      <c r="O160" s="18" t="inlineStr">
        <is>
          <t>Cartera</t>
        </is>
      </c>
    </row>
    <row r="161">
      <c r="A161" s="16" t="n">
        <v>925</v>
      </c>
      <c r="B161" s="16" t="inlineStr">
        <is>
          <t>Pagado</t>
        </is>
      </c>
      <c r="C161" s="16" t="n">
        <v>860002518</v>
      </c>
      <c r="D161" s="16" t="inlineStr">
        <is>
          <t>UNILEVER ANDINA COLOMBIA LTDA</t>
        </is>
      </c>
      <c r="E161" s="16" t="inlineStr">
        <is>
          <t>PMP1271958</t>
        </is>
      </c>
      <c r="F161" s="16" t="inlineStr">
        <is>
          <t>04/09/2025</t>
        </is>
      </c>
      <c r="G161" s="16" t="n">
        <v>5100305679</v>
      </c>
      <c r="H161" s="16" t="inlineStr">
        <is>
          <t>Factura Acrededor</t>
        </is>
      </c>
      <c r="I161" s="16" t="inlineStr">
        <is>
          <t>09/08/2025</t>
        </is>
      </c>
      <c r="J161" s="16" t="n">
        <v>0</v>
      </c>
      <c r="K161" s="17" t="n">
        <v>-19165124</v>
      </c>
      <c r="L161" s="16" t="inlineStr">
        <is>
          <t>Palmira</t>
        </is>
      </c>
      <c r="M161" s="16" t="inlineStr">
        <is>
          <t>UNILEVER ANDINA COLOMBIA LTDA</t>
        </is>
      </c>
      <c r="N161" s="18">
        <f>+H161&amp;" "&amp; E161</f>
        <v/>
      </c>
      <c r="O161" s="18" t="inlineStr">
        <is>
          <t>Cartera</t>
        </is>
      </c>
    </row>
    <row r="162">
      <c r="A162" s="16" t="n">
        <v>926</v>
      </c>
      <c r="B162" s="16" t="inlineStr">
        <is>
          <t>Pagado</t>
        </is>
      </c>
      <c r="C162" s="16" t="n">
        <v>860002518</v>
      </c>
      <c r="D162" s="16" t="inlineStr">
        <is>
          <t>UNILEVER ANDINA COLOMBIA LTDA</t>
        </is>
      </c>
      <c r="E162" s="16" t="inlineStr">
        <is>
          <t>PMP1271106</t>
        </is>
      </c>
      <c r="F162" s="16" t="inlineStr">
        <is>
          <t>04/09/2025</t>
        </is>
      </c>
      <c r="G162" s="16" t="n">
        <v>5100306494</v>
      </c>
      <c r="H162" s="16" t="inlineStr">
        <is>
          <t>Factura Acrededor</t>
        </is>
      </c>
      <c r="I162" s="16" t="inlineStr">
        <is>
          <t>06/08/2025</t>
        </is>
      </c>
      <c r="J162" s="16" t="n">
        <v>0</v>
      </c>
      <c r="K162" s="17" t="n">
        <v>-74210207</v>
      </c>
      <c r="L162" s="16" t="inlineStr">
        <is>
          <t>Cota</t>
        </is>
      </c>
      <c r="M162" s="16" t="inlineStr">
        <is>
          <t>UNILEVER ANDINA COLOMBIA LTDA</t>
        </is>
      </c>
      <c r="N162" s="18">
        <f>+H162&amp;" "&amp; E162</f>
        <v/>
      </c>
      <c r="O162" s="18" t="inlineStr">
        <is>
          <t>Cartera</t>
        </is>
      </c>
    </row>
    <row r="163">
      <c r="A163" s="16" t="n">
        <v>927</v>
      </c>
      <c r="B163" s="16" t="inlineStr">
        <is>
          <t>Pagado</t>
        </is>
      </c>
      <c r="C163" s="16" t="n">
        <v>860002518</v>
      </c>
      <c r="D163" s="16" t="inlineStr">
        <is>
          <t>UNILEVER ANDINA COLOMBIA LTDA</t>
        </is>
      </c>
      <c r="E163" s="16" t="inlineStr">
        <is>
          <t>PMP1271097</t>
        </is>
      </c>
      <c r="F163" s="16" t="inlineStr">
        <is>
          <t>04/09/2025</t>
        </is>
      </c>
      <c r="G163" s="16" t="n">
        <v>5100306384</v>
      </c>
      <c r="H163" s="16" t="inlineStr">
        <is>
          <t>Reduc Factura Compra</t>
        </is>
      </c>
      <c r="I163" s="16" t="inlineStr">
        <is>
          <t>06/08/2025</t>
        </is>
      </c>
      <c r="J163" s="16" t="n">
        <v>0</v>
      </c>
      <c r="K163" s="17" t="n">
        <v>22736918</v>
      </c>
      <c r="L163" s="16" t="inlineStr">
        <is>
          <t>Cota</t>
        </is>
      </c>
      <c r="M163" s="16" t="inlineStr">
        <is>
          <t>UNILEVER ANDINA COLOMBIA LTDA // CONCILIACIÓN</t>
        </is>
      </c>
      <c r="N163" s="18">
        <f>+H163&amp;" "&amp;E163</f>
        <v/>
      </c>
      <c r="O163" s="18" t="inlineStr">
        <is>
          <t>Ventas</t>
        </is>
      </c>
    </row>
    <row r="164">
      <c r="A164" s="16" t="n">
        <v>928</v>
      </c>
      <c r="B164" s="16" t="inlineStr">
        <is>
          <t>Pagado</t>
        </is>
      </c>
      <c r="C164" s="16" t="n">
        <v>860002518</v>
      </c>
      <c r="D164" s="16" t="inlineStr">
        <is>
          <t>UNILEVER ANDINA COLOMBIA LTDA</t>
        </is>
      </c>
      <c r="E164" s="16" t="inlineStr">
        <is>
          <t>PMP1271097</t>
        </is>
      </c>
      <c r="F164" s="16" t="inlineStr">
        <is>
          <t>04/09/2025</t>
        </is>
      </c>
      <c r="G164" s="16" t="n">
        <v>5100306383</v>
      </c>
      <c r="H164" s="16" t="inlineStr">
        <is>
          <t>Factura Acrededor</t>
        </is>
      </c>
      <c r="I164" s="16" t="inlineStr">
        <is>
          <t>06/08/2025</t>
        </is>
      </c>
      <c r="J164" s="16" t="n">
        <v>0</v>
      </c>
      <c r="K164" s="17" t="n">
        <v>-56845936</v>
      </c>
      <c r="L164" s="16" t="inlineStr">
        <is>
          <t>Cota</t>
        </is>
      </c>
      <c r="M164" s="16" t="inlineStr">
        <is>
          <t>UNILEVER ANDINA COLOMBIA LTDA // CONCILIACIÓN</t>
        </is>
      </c>
      <c r="N164" s="18">
        <f>+H164&amp;" "&amp; E164</f>
        <v/>
      </c>
      <c r="O164" s="18" t="inlineStr">
        <is>
          <t>Cartera</t>
        </is>
      </c>
    </row>
    <row r="165">
      <c r="A165" s="16" t="n">
        <v>929</v>
      </c>
      <c r="B165" s="16" t="inlineStr">
        <is>
          <t>Pagado</t>
        </is>
      </c>
      <c r="C165" s="16" t="n">
        <v>860002518</v>
      </c>
      <c r="D165" s="16" t="inlineStr">
        <is>
          <t>UNILEVER ANDINA COLOMBIA LTDA</t>
        </is>
      </c>
      <c r="E165" s="16" t="inlineStr">
        <is>
          <t>PMP1271958</t>
        </is>
      </c>
      <c r="F165" s="16" t="inlineStr">
        <is>
          <t>04/09/2025</t>
        </is>
      </c>
      <c r="G165" s="16" t="n">
        <v>5100305680</v>
      </c>
      <c r="H165" s="16" t="inlineStr">
        <is>
          <t>Reduc Factura Compra</t>
        </is>
      </c>
      <c r="I165" s="16" t="inlineStr">
        <is>
          <t>09/08/2025</t>
        </is>
      </c>
      <c r="J165" s="16" t="n">
        <v>0</v>
      </c>
      <c r="K165" s="17" t="n">
        <v>343090</v>
      </c>
      <c r="L165" s="16" t="inlineStr">
        <is>
          <t>Palmira</t>
        </is>
      </c>
      <c r="M165" s="16" t="inlineStr">
        <is>
          <t>UNILEVER ANDINA COLOMBIA LTDA</t>
        </is>
      </c>
      <c r="N165" s="18">
        <f>+H165&amp;" "&amp;E165</f>
        <v/>
      </c>
      <c r="O165" s="18" t="inlineStr">
        <is>
          <t>Ventas</t>
        </is>
      </c>
    </row>
    <row r="166">
      <c r="A166" s="16" t="n">
        <v>930</v>
      </c>
      <c r="B166" s="16" t="inlineStr">
        <is>
          <t>Pagado</t>
        </is>
      </c>
      <c r="C166" s="16" t="n">
        <v>860002518</v>
      </c>
      <c r="D166" s="16" t="inlineStr">
        <is>
          <t>UNILEVER ANDINA COLOMBIA LTDA</t>
        </is>
      </c>
      <c r="E166" s="16" t="inlineStr">
        <is>
          <t>PMP1270024</t>
        </is>
      </c>
      <c r="F166" s="16" t="inlineStr">
        <is>
          <t>09/09/2025</t>
        </is>
      </c>
      <c r="G166" s="16" t="n">
        <v>5100306567</v>
      </c>
      <c r="H166" s="16" t="inlineStr">
        <is>
          <t>Factura Acrededor</t>
        </is>
      </c>
      <c r="I166" s="16" t="inlineStr">
        <is>
          <t>02/08/2025</t>
        </is>
      </c>
      <c r="J166" s="16" t="n">
        <v>0</v>
      </c>
      <c r="K166" s="17" t="n">
        <v>-6095218</v>
      </c>
      <c r="L166" s="16" t="inlineStr">
        <is>
          <t>Barranquilla</t>
        </is>
      </c>
      <c r="M166" s="16" t="inlineStr">
        <is>
          <t>UNILEVER ANDINA COLOMBIA LTDA</t>
        </is>
      </c>
      <c r="N166" s="18">
        <f>+H166&amp;" "&amp; E166</f>
        <v/>
      </c>
      <c r="O166" s="18" t="inlineStr">
        <is>
          <t>Cartera</t>
        </is>
      </c>
    </row>
    <row r="167">
      <c r="A167" s="16" t="n">
        <v>931</v>
      </c>
      <c r="B167" s="16" t="inlineStr">
        <is>
          <t>Pagado</t>
        </is>
      </c>
      <c r="C167" s="16" t="n">
        <v>860002518</v>
      </c>
      <c r="D167" s="16" t="inlineStr">
        <is>
          <t>UNILEVER ANDINA COLOMBIA LTDA</t>
        </is>
      </c>
      <c r="E167" s="16" t="inlineStr">
        <is>
          <t>PMP1271054</t>
        </is>
      </c>
      <c r="F167" s="16" t="inlineStr">
        <is>
          <t>09/09/2025</t>
        </is>
      </c>
      <c r="G167" s="16" t="n">
        <v>5100306155</v>
      </c>
      <c r="H167" s="16" t="inlineStr">
        <is>
          <t>Factura Acrededor</t>
        </is>
      </c>
      <c r="I167" s="16" t="inlineStr">
        <is>
          <t>06/08/2025</t>
        </is>
      </c>
      <c r="J167" s="16" t="n">
        <v>0</v>
      </c>
      <c r="K167" s="17" t="n">
        <v>-10835116</v>
      </c>
      <c r="L167" s="16" t="inlineStr">
        <is>
          <t>Cerritos</t>
        </is>
      </c>
      <c r="N167" s="18">
        <f>+H167&amp;" "&amp; E167</f>
        <v/>
      </c>
      <c r="O167" s="18" t="inlineStr">
        <is>
          <t>Cartera</t>
        </is>
      </c>
    </row>
    <row r="168">
      <c r="A168" s="16" t="n">
        <v>932</v>
      </c>
      <c r="B168" s="16" t="inlineStr">
        <is>
          <t>Pagado</t>
        </is>
      </c>
      <c r="C168" s="16" t="n">
        <v>860002518</v>
      </c>
      <c r="D168" s="16" t="inlineStr">
        <is>
          <t>UNILEVER ANDINA COLOMBIA LTDA</t>
        </is>
      </c>
      <c r="E168" s="16" t="inlineStr">
        <is>
          <t>PMP1271054</t>
        </is>
      </c>
      <c r="F168" s="16" t="inlineStr">
        <is>
          <t>09/09/2025</t>
        </is>
      </c>
      <c r="G168" s="16" t="n">
        <v>5100306156</v>
      </c>
      <c r="H168" s="16" t="inlineStr">
        <is>
          <t>Reduc Factura Compra</t>
        </is>
      </c>
      <c r="I168" s="16" t="inlineStr">
        <is>
          <t>06/08/2025</t>
        </is>
      </c>
      <c r="J168" s="16" t="n">
        <v>0</v>
      </c>
      <c r="K168" s="17" t="n">
        <v>168015</v>
      </c>
      <c r="L168" s="16" t="inlineStr">
        <is>
          <t>Cerritos</t>
        </is>
      </c>
      <c r="N168" s="18">
        <f>+H168&amp;" "&amp;E168</f>
        <v/>
      </c>
      <c r="O168" s="18" t="inlineStr">
        <is>
          <t>Ventas</t>
        </is>
      </c>
    </row>
    <row r="169">
      <c r="A169" s="16" t="n">
        <v>933</v>
      </c>
      <c r="B169" s="16" t="inlineStr">
        <is>
          <t>Pagado</t>
        </is>
      </c>
      <c r="C169" s="16" t="n">
        <v>860002518</v>
      </c>
      <c r="D169" s="16" t="inlineStr">
        <is>
          <t>UNILEVER ANDINA COLOMBIA LTDA</t>
        </is>
      </c>
      <c r="E169" s="16" t="inlineStr">
        <is>
          <t>PMP1270677</t>
        </is>
      </c>
      <c r="F169" s="16" t="inlineStr">
        <is>
          <t>09/09/2025</t>
        </is>
      </c>
      <c r="G169" s="16" t="n">
        <v>5100309127</v>
      </c>
      <c r="H169" s="16" t="inlineStr">
        <is>
          <t>Reduc Factura Compra</t>
        </is>
      </c>
      <c r="I169" s="16" t="inlineStr">
        <is>
          <t>04/08/2025</t>
        </is>
      </c>
      <c r="J169" s="16" t="n">
        <v>0</v>
      </c>
      <c r="K169" s="17" t="n">
        <v>760975</v>
      </c>
      <c r="L169" s="16" t="inlineStr">
        <is>
          <t>Barranquilla</t>
        </is>
      </c>
      <c r="M169" s="16" t="inlineStr">
        <is>
          <t>UNILEVER ANDINA COLOMBIA LTDA</t>
        </is>
      </c>
      <c r="N169" s="18">
        <f>+H169&amp;" "&amp;E169</f>
        <v/>
      </c>
      <c r="O169" s="18" t="inlineStr">
        <is>
          <t>Ventas</t>
        </is>
      </c>
    </row>
    <row r="170">
      <c r="A170" s="16" t="n">
        <v>934</v>
      </c>
      <c r="B170" s="16" t="inlineStr">
        <is>
          <t>Pagado</t>
        </is>
      </c>
      <c r="C170" s="16" t="n">
        <v>860002518</v>
      </c>
      <c r="D170" s="16" t="inlineStr">
        <is>
          <t>UNILEVER ANDINA COLOMBIA LTDA</t>
        </is>
      </c>
      <c r="E170" s="16" t="inlineStr">
        <is>
          <t>PMP1270677</t>
        </is>
      </c>
      <c r="F170" s="16" t="inlineStr">
        <is>
          <t>09/09/2025</t>
        </is>
      </c>
      <c r="G170" s="16" t="n">
        <v>5100309126</v>
      </c>
      <c r="H170" s="16" t="inlineStr">
        <is>
          <t>Factura Acrededor</t>
        </is>
      </c>
      <c r="I170" s="16" t="inlineStr">
        <is>
          <t>04/08/2025</t>
        </is>
      </c>
      <c r="J170" s="16" t="n">
        <v>0</v>
      </c>
      <c r="K170" s="17" t="n">
        <v>-16272496</v>
      </c>
      <c r="L170" s="16" t="inlineStr">
        <is>
          <t>Barranquilla</t>
        </is>
      </c>
      <c r="M170" s="16" t="inlineStr">
        <is>
          <t>UNILEVER ANDINA COLOMBIA LTDA</t>
        </is>
      </c>
      <c r="N170" s="18">
        <f>+H170&amp;" "&amp; E170</f>
        <v/>
      </c>
      <c r="O170" s="18" t="inlineStr">
        <is>
          <t>Cartera</t>
        </is>
      </c>
    </row>
    <row r="171">
      <c r="A171" s="16" t="n">
        <v>935</v>
      </c>
      <c r="B171" s="16" t="inlineStr">
        <is>
          <t>Pagado</t>
        </is>
      </c>
      <c r="C171" s="16" t="n">
        <v>860002518</v>
      </c>
      <c r="D171" s="16" t="inlineStr">
        <is>
          <t>UNILEVER ANDINA COLOMBIA LTDA</t>
        </is>
      </c>
      <c r="E171" s="16" t="inlineStr">
        <is>
          <t>PMP1271668</t>
        </is>
      </c>
      <c r="F171" s="16" t="inlineStr">
        <is>
          <t>09/09/2025</t>
        </is>
      </c>
      <c r="G171" s="16" t="n">
        <v>5100308850</v>
      </c>
      <c r="H171" s="16" t="inlineStr">
        <is>
          <t>Reduc Factura Compra</t>
        </is>
      </c>
      <c r="I171" s="16" t="inlineStr">
        <is>
          <t>07/08/2025</t>
        </is>
      </c>
      <c r="J171" s="16" t="n">
        <v>0</v>
      </c>
      <c r="K171" s="17" t="n">
        <v>66783</v>
      </c>
      <c r="L171" s="16" t="inlineStr">
        <is>
          <t>Bucaramanga ZF</t>
        </is>
      </c>
      <c r="M171" s="16" t="inlineStr">
        <is>
          <t>UNILEVER ANDINA COLOMBIA LTDA/CONCILIACION</t>
        </is>
      </c>
      <c r="N171" s="18">
        <f>+H171&amp;" "&amp;E171</f>
        <v/>
      </c>
      <c r="O171" s="18" t="inlineStr">
        <is>
          <t>Ventas</t>
        </is>
      </c>
    </row>
    <row r="172">
      <c r="A172" s="16" t="n">
        <v>938</v>
      </c>
      <c r="B172" s="16" t="inlineStr">
        <is>
          <t>Pagado</t>
        </is>
      </c>
      <c r="C172" s="16" t="n">
        <v>860002518</v>
      </c>
      <c r="D172" s="16" t="inlineStr">
        <is>
          <t>UNILEVER ANDINA COLOMBIA LTDA</t>
        </is>
      </c>
      <c r="E172" s="16" t="inlineStr">
        <is>
          <t>PMP1271152</t>
        </is>
      </c>
      <c r="F172" s="16" t="inlineStr">
        <is>
          <t>09/09/2025</t>
        </is>
      </c>
      <c r="G172" s="16" t="n">
        <v>5100308279</v>
      </c>
      <c r="H172" s="16" t="inlineStr">
        <is>
          <t>Factura Acrededor</t>
        </is>
      </c>
      <c r="I172" s="16" t="inlineStr">
        <is>
          <t>06/08/2025</t>
        </is>
      </c>
      <c r="J172" s="16" t="n">
        <v>0</v>
      </c>
      <c r="K172" s="17" t="n">
        <v>-16368273</v>
      </c>
      <c r="M172" s="16" t="inlineStr">
        <is>
          <t>UNILEVER ANDINA COLOMBIA LTDA/CONCILIACION</t>
        </is>
      </c>
      <c r="N172" s="18">
        <f>+H172&amp;" "&amp; E172</f>
        <v/>
      </c>
      <c r="O172" s="18" t="inlineStr">
        <is>
          <t>Cartera</t>
        </is>
      </c>
    </row>
    <row r="173">
      <c r="A173" s="16" t="n">
        <v>940</v>
      </c>
      <c r="B173" s="16" t="inlineStr">
        <is>
          <t>Pagado</t>
        </is>
      </c>
      <c r="C173" s="16" t="n">
        <v>860002518</v>
      </c>
      <c r="D173" s="16" t="inlineStr">
        <is>
          <t>UNILEVER ANDINA COLOMBIA LTDA</t>
        </is>
      </c>
      <c r="E173" s="16" t="inlineStr">
        <is>
          <t>PMP1271152</t>
        </is>
      </c>
      <c r="F173" s="16" t="inlineStr">
        <is>
          <t>09/09/2025</t>
        </is>
      </c>
      <c r="G173" s="16" t="n">
        <v>5100308280</v>
      </c>
      <c r="H173" s="16" t="inlineStr">
        <is>
          <t>Reduc Factura Compra</t>
        </is>
      </c>
      <c r="I173" s="16" t="inlineStr">
        <is>
          <t>06/08/2025</t>
        </is>
      </c>
      <c r="J173" s="16" t="n">
        <v>0</v>
      </c>
      <c r="K173" s="17" t="n">
        <v>306520</v>
      </c>
      <c r="M173" s="16" t="inlineStr">
        <is>
          <t>UNILEVER ANDINA COLOMBIA LTDA/CONCILIACION</t>
        </is>
      </c>
      <c r="N173" s="18">
        <f>+H173&amp;" "&amp;E173</f>
        <v/>
      </c>
      <c r="O173" s="18" t="inlineStr">
        <is>
          <t>Ventas</t>
        </is>
      </c>
    </row>
    <row r="174">
      <c r="A174" s="16" t="n">
        <v>941</v>
      </c>
      <c r="B174" s="16" t="inlineStr">
        <is>
          <t>Pagado</t>
        </is>
      </c>
      <c r="C174" s="16" t="n">
        <v>860002518</v>
      </c>
      <c r="D174" s="16" t="inlineStr">
        <is>
          <t>UNILEVER ANDINA COLOMBIA LTDA</t>
        </is>
      </c>
      <c r="E174" s="16" t="inlineStr">
        <is>
          <t>PMP1271668</t>
        </is>
      </c>
      <c r="F174" s="16" t="inlineStr">
        <is>
          <t>09/09/2025</t>
        </is>
      </c>
      <c r="G174" s="16" t="n">
        <v>5100308849</v>
      </c>
      <c r="H174" s="16" t="inlineStr">
        <is>
          <t>Factura Acrededor</t>
        </is>
      </c>
      <c r="I174" s="16" t="inlineStr">
        <is>
          <t>07/08/2025</t>
        </is>
      </c>
      <c r="J174" s="16" t="n">
        <v>0</v>
      </c>
      <c r="K174" s="17" t="n">
        <v>-8060077</v>
      </c>
      <c r="L174" s="16" t="inlineStr">
        <is>
          <t>Bucaramanga ZF</t>
        </is>
      </c>
      <c r="M174" s="16" t="inlineStr">
        <is>
          <t>UNILEVER ANDINA COLOMBIA LTDA/CONCILIACION</t>
        </is>
      </c>
      <c r="N174" s="18">
        <f>+H174&amp;" "&amp; E174</f>
        <v/>
      </c>
      <c r="O174" s="18" t="inlineStr">
        <is>
          <t>Cartera</t>
        </is>
      </c>
    </row>
    <row r="175">
      <c r="A175" s="16" t="n">
        <v>942</v>
      </c>
      <c r="B175" s="16" t="inlineStr">
        <is>
          <t>Pagado</t>
        </is>
      </c>
      <c r="C175" s="16" t="n">
        <v>860002518</v>
      </c>
      <c r="D175" s="16" t="inlineStr">
        <is>
          <t>UNILEVER ANDINA COLOMBIA LTDA</t>
        </is>
      </c>
      <c r="E175" s="16" t="inlineStr">
        <is>
          <t>PMP1272330</t>
        </is>
      </c>
      <c r="F175" s="16" t="inlineStr">
        <is>
          <t>09/09/2025</t>
        </is>
      </c>
      <c r="G175" s="16" t="n">
        <v>5100308576</v>
      </c>
      <c r="H175" s="16" t="inlineStr">
        <is>
          <t>Reduc Factura Compra</t>
        </is>
      </c>
      <c r="I175" s="16" t="inlineStr">
        <is>
          <t>09/08/2025</t>
        </is>
      </c>
      <c r="J175" s="16" t="n">
        <v>0</v>
      </c>
      <c r="K175" s="17" t="n">
        <v>2568741</v>
      </c>
      <c r="L175" s="16" t="inlineStr">
        <is>
          <t>Cota</t>
        </is>
      </c>
      <c r="M175" s="16" t="inlineStr">
        <is>
          <t>UNILEVER ANDINA COLOMBIA LTDA // CONCILIACIÓN</t>
        </is>
      </c>
      <c r="N175" s="18">
        <f>+H175&amp;" "&amp;E175</f>
        <v/>
      </c>
      <c r="O175" s="18" t="inlineStr">
        <is>
          <t>Ventas</t>
        </is>
      </c>
    </row>
    <row r="176">
      <c r="A176" s="16" t="n">
        <v>944</v>
      </c>
      <c r="B176" s="16" t="inlineStr">
        <is>
          <t>Pagado</t>
        </is>
      </c>
      <c r="C176" s="16" t="n">
        <v>860002518</v>
      </c>
      <c r="D176" s="16" t="inlineStr">
        <is>
          <t>UNILEVER ANDINA COLOMBIA LTDA</t>
        </is>
      </c>
      <c r="E176" s="16" t="inlineStr">
        <is>
          <t>PMP1272330</t>
        </is>
      </c>
      <c r="F176" s="16" t="inlineStr">
        <is>
          <t>09/09/2025</t>
        </is>
      </c>
      <c r="G176" s="16" t="n">
        <v>5100308575</v>
      </c>
      <c r="H176" s="16" t="inlineStr">
        <is>
          <t>Factura Acrededor</t>
        </is>
      </c>
      <c r="I176" s="16" t="inlineStr">
        <is>
          <t>09/08/2025</t>
        </is>
      </c>
      <c r="J176" s="16" t="n">
        <v>0</v>
      </c>
      <c r="K176" s="17" t="n">
        <v>-97269335</v>
      </c>
      <c r="L176" s="16" t="inlineStr">
        <is>
          <t>Cota</t>
        </is>
      </c>
      <c r="M176" s="16" t="inlineStr">
        <is>
          <t>UNILEVER ANDINA COLOMBIA LTDA // CONCILIACIÓN</t>
        </is>
      </c>
      <c r="N176" s="18">
        <f>+H176&amp;" "&amp; E176</f>
        <v/>
      </c>
      <c r="O176" s="18" t="inlineStr">
        <is>
          <t>Cartera</t>
        </is>
      </c>
    </row>
    <row r="177">
      <c r="A177" s="16" t="n">
        <v>950</v>
      </c>
      <c r="B177" s="16" t="inlineStr">
        <is>
          <t>Pagado</t>
        </is>
      </c>
      <c r="C177" s="16" t="n">
        <v>860002518</v>
      </c>
      <c r="D177" s="16" t="inlineStr">
        <is>
          <t>UNILEVER ANDINA COLOMBIA LTDA</t>
        </is>
      </c>
      <c r="E177" s="16" t="inlineStr">
        <is>
          <t>PMP-1273112</t>
        </is>
      </c>
      <c r="F177" s="16" t="inlineStr">
        <is>
          <t>12/09/2025</t>
        </is>
      </c>
      <c r="G177" s="16" t="n">
        <v>5100315882</v>
      </c>
      <c r="H177" s="16" t="inlineStr">
        <is>
          <t>Factura Acrededor</t>
        </is>
      </c>
      <c r="I177" s="16" t="inlineStr">
        <is>
          <t>12/08/2025</t>
        </is>
      </c>
      <c r="J177" s="16" t="n">
        <v>0</v>
      </c>
      <c r="K177" s="17" t="n">
        <v>-27974992</v>
      </c>
      <c r="M177" s="16" t="inlineStr">
        <is>
          <t>UNILEVER ANDINA COLOMBIA LTDA/CONCILIACION</t>
        </is>
      </c>
      <c r="N177" s="18">
        <f>+H177&amp;" "&amp; E177</f>
        <v/>
      </c>
      <c r="O177" s="18" t="inlineStr">
        <is>
          <t>Cartera</t>
        </is>
      </c>
    </row>
    <row r="178">
      <c r="A178" s="16" t="n">
        <v>951</v>
      </c>
      <c r="B178" s="16" t="inlineStr">
        <is>
          <t>Pagado</t>
        </is>
      </c>
      <c r="C178" s="16" t="n">
        <v>860002518</v>
      </c>
      <c r="D178" s="16" t="inlineStr">
        <is>
          <t>UNILEVER ANDINA COLOMBIA LTDA</t>
        </is>
      </c>
      <c r="E178" s="16" t="inlineStr">
        <is>
          <t>PMP1273596</t>
        </is>
      </c>
      <c r="F178" s="16" t="inlineStr">
        <is>
          <t>12/09/2025</t>
        </is>
      </c>
      <c r="G178" s="16" t="n">
        <v>5100317247</v>
      </c>
      <c r="H178" s="16" t="inlineStr">
        <is>
          <t>Factura Acrededor</t>
        </is>
      </c>
      <c r="I178" s="16" t="inlineStr">
        <is>
          <t>13/08/2025</t>
        </is>
      </c>
      <c r="J178" s="16" t="n">
        <v>0</v>
      </c>
      <c r="K178" s="17" t="n">
        <v>-28749643</v>
      </c>
      <c r="L178" s="16" t="inlineStr">
        <is>
          <t>Palmira</t>
        </is>
      </c>
      <c r="M178" s="16" t="inlineStr">
        <is>
          <t>UNILEVER ANDINA COLOMBIA LTDA</t>
        </is>
      </c>
      <c r="N178" s="18">
        <f>+H178&amp;" "&amp; E178</f>
        <v/>
      </c>
      <c r="O178" s="18" t="inlineStr">
        <is>
          <t>Cartera</t>
        </is>
      </c>
    </row>
    <row r="179">
      <c r="A179" s="16" t="n">
        <v>952</v>
      </c>
      <c r="B179" s="16" t="inlineStr">
        <is>
          <t>Pagado</t>
        </is>
      </c>
      <c r="C179" s="16" t="n">
        <v>860002518</v>
      </c>
      <c r="D179" s="16" t="inlineStr">
        <is>
          <t>UNILEVER ANDINA COLOMBIA LTDA</t>
        </is>
      </c>
      <c r="E179" s="16" t="inlineStr">
        <is>
          <t>PMP1273112</t>
        </is>
      </c>
      <c r="F179" s="16" t="inlineStr">
        <is>
          <t>12/09/2025</t>
        </is>
      </c>
      <c r="G179" s="16" t="n">
        <v>5100315883</v>
      </c>
      <c r="H179" s="16" t="inlineStr">
        <is>
          <t>Reduc Factura Compra</t>
        </is>
      </c>
      <c r="I179" s="16" t="inlineStr">
        <is>
          <t>12/08/2025</t>
        </is>
      </c>
      <c r="J179" s="16" t="n">
        <v>0</v>
      </c>
      <c r="K179" s="17" t="n">
        <v>98733</v>
      </c>
      <c r="M179" s="16" t="inlineStr">
        <is>
          <t>UNILEVER ANDINA COLOMBIA LTDA/CONCILIACION</t>
        </is>
      </c>
      <c r="N179" s="18">
        <f>+H179&amp;" "&amp;E179</f>
        <v/>
      </c>
      <c r="O179" s="18" t="inlineStr">
        <is>
          <t>Ventas</t>
        </is>
      </c>
    </row>
    <row r="180">
      <c r="A180" s="16" t="n">
        <v>954</v>
      </c>
      <c r="B180" s="16" t="inlineStr">
        <is>
          <t>Pagado</t>
        </is>
      </c>
      <c r="C180" s="16" t="n">
        <v>860002518</v>
      </c>
      <c r="D180" s="16" t="inlineStr">
        <is>
          <t>UNILEVER ANDINA COLOMBIA LTDA</t>
        </is>
      </c>
      <c r="E180" s="16" t="inlineStr">
        <is>
          <t>PMP1273863</t>
        </is>
      </c>
      <c r="F180" s="16" t="inlineStr">
        <is>
          <t>12/09/2025</t>
        </is>
      </c>
      <c r="G180" s="16" t="n">
        <v>5100318608</v>
      </c>
      <c r="H180" s="16" t="inlineStr">
        <is>
          <t>Factura Acrededor</t>
        </is>
      </c>
      <c r="I180" s="16" t="inlineStr">
        <is>
          <t>13/08/2025</t>
        </is>
      </c>
      <c r="J180" s="16" t="n">
        <v>0</v>
      </c>
      <c r="K180" s="17" t="n">
        <v>-11408205</v>
      </c>
      <c r="L180" s="16" t="inlineStr">
        <is>
          <t>Cerritos</t>
        </is>
      </c>
      <c r="N180" s="18">
        <f>+H180&amp;" "&amp; E180</f>
        <v/>
      </c>
      <c r="O180" s="18" t="inlineStr">
        <is>
          <t>Cartera</t>
        </is>
      </c>
    </row>
    <row r="181">
      <c r="A181" s="16" t="n">
        <v>955</v>
      </c>
      <c r="B181" s="16" t="inlineStr">
        <is>
          <t>Pagado</t>
        </is>
      </c>
      <c r="C181" s="16" t="n">
        <v>860002518</v>
      </c>
      <c r="D181" s="16" t="inlineStr">
        <is>
          <t>UNILEVER ANDINA COLOMBIA LTDA</t>
        </is>
      </c>
      <c r="E181" s="16" t="inlineStr">
        <is>
          <t>PMP1273878</t>
        </is>
      </c>
      <c r="F181" s="16" t="inlineStr">
        <is>
          <t>12/09/2025</t>
        </is>
      </c>
      <c r="G181" s="16" t="n">
        <v>5100318343</v>
      </c>
      <c r="H181" s="16" t="inlineStr">
        <is>
          <t>Reduc Factura Compra</t>
        </is>
      </c>
      <c r="I181" s="16" t="inlineStr">
        <is>
          <t>13/08/2025</t>
        </is>
      </c>
      <c r="J181" s="16" t="n">
        <v>0</v>
      </c>
      <c r="K181" s="17" t="n">
        <v>1267188</v>
      </c>
      <c r="L181" s="16" t="inlineStr">
        <is>
          <t>Cota</t>
        </is>
      </c>
      <c r="M181" s="16" t="inlineStr">
        <is>
          <t>UNILEVER ANDINA COLOMBIA LTDA/CONCILIACION</t>
        </is>
      </c>
      <c r="N181" s="18">
        <f>+H181&amp;" "&amp;E181</f>
        <v/>
      </c>
      <c r="O181" s="18" t="inlineStr">
        <is>
          <t>Ventas</t>
        </is>
      </c>
    </row>
    <row r="182">
      <c r="A182" s="16" t="n">
        <v>956</v>
      </c>
      <c r="B182" s="16" t="inlineStr">
        <is>
          <t>Pagado</t>
        </is>
      </c>
      <c r="C182" s="16" t="n">
        <v>860002518</v>
      </c>
      <c r="D182" s="16" t="inlineStr">
        <is>
          <t>UNILEVER ANDINA COLOMBIA LTDA</t>
        </is>
      </c>
      <c r="E182" s="16" t="inlineStr">
        <is>
          <t>PMP1273878</t>
        </is>
      </c>
      <c r="F182" s="16" t="inlineStr">
        <is>
          <t>12/09/2025</t>
        </is>
      </c>
      <c r="G182" s="16" t="n">
        <v>5100318342</v>
      </c>
      <c r="H182" s="16" t="inlineStr">
        <is>
          <t>Factura Acrededor</t>
        </is>
      </c>
      <c r="I182" s="16" t="inlineStr">
        <is>
          <t>13/08/2025</t>
        </is>
      </c>
      <c r="J182" s="16" t="n">
        <v>0</v>
      </c>
      <c r="K182" s="17" t="n">
        <v>-154734955</v>
      </c>
      <c r="L182" s="16" t="inlineStr">
        <is>
          <t>Cota</t>
        </is>
      </c>
      <c r="M182" s="16" t="inlineStr">
        <is>
          <t>UNILEVER ANDINA COLOMBIA LTDA/CONCILIACION</t>
        </is>
      </c>
      <c r="N182" s="18">
        <f>+H182&amp;" "&amp; E182</f>
        <v/>
      </c>
      <c r="O182" s="18" t="inlineStr">
        <is>
          <t>Cartera</t>
        </is>
      </c>
    </row>
    <row r="183">
      <c r="A183" s="16" t="n">
        <v>957</v>
      </c>
      <c r="B183" s="16" t="inlineStr">
        <is>
          <t>Pagado</t>
        </is>
      </c>
      <c r="C183" s="16" t="n">
        <v>860002518</v>
      </c>
      <c r="D183" s="16" t="inlineStr">
        <is>
          <t>UNILEVER ANDINA COLOMBIA LTDA</t>
        </is>
      </c>
      <c r="E183" s="16" t="inlineStr">
        <is>
          <t>PMP1274133</t>
        </is>
      </c>
      <c r="F183" s="16" t="inlineStr">
        <is>
          <t>15/09/2025</t>
        </is>
      </c>
      <c r="G183" s="16" t="n">
        <v>5100321140</v>
      </c>
      <c r="H183" s="16" t="inlineStr">
        <is>
          <t>Factura Acrededor</t>
        </is>
      </c>
      <c r="I183" s="16" t="inlineStr">
        <is>
          <t>14/08/2025</t>
        </is>
      </c>
      <c r="J183" s="16" t="n">
        <v>0</v>
      </c>
      <c r="K183" s="17" t="n">
        <v>-12603978</v>
      </c>
      <c r="L183" s="16" t="inlineStr">
        <is>
          <t>Bucaramanga ZF</t>
        </is>
      </c>
      <c r="M183" s="16" t="inlineStr">
        <is>
          <t>UNILEVER ANDINA COLOMBIA LTDA/CONCILIACION</t>
        </is>
      </c>
      <c r="N183" s="18">
        <f>+H183&amp;" "&amp; E183</f>
        <v/>
      </c>
      <c r="O183" s="18" t="inlineStr">
        <is>
          <t>Cartera</t>
        </is>
      </c>
    </row>
    <row r="184">
      <c r="A184" s="16" t="n">
        <v>959</v>
      </c>
      <c r="B184" s="16" t="inlineStr">
        <is>
          <t>Pagado</t>
        </is>
      </c>
      <c r="C184" s="16" t="n">
        <v>860002518</v>
      </c>
      <c r="D184" s="16" t="inlineStr">
        <is>
          <t>UNILEVER ANDINA COLOMBIA LTDA</t>
        </is>
      </c>
      <c r="E184" s="16" t="inlineStr">
        <is>
          <t>PMP1274133</t>
        </is>
      </c>
      <c r="F184" s="16" t="inlineStr">
        <is>
          <t>15/09/2025</t>
        </is>
      </c>
      <c r="G184" s="16" t="n">
        <v>5100321141</v>
      </c>
      <c r="H184" s="16" t="inlineStr">
        <is>
          <t>Reduc Factura Compra</t>
        </is>
      </c>
      <c r="I184" s="16" t="inlineStr">
        <is>
          <t>14/08/2025</t>
        </is>
      </c>
      <c r="J184" s="16" t="n">
        <v>0</v>
      </c>
      <c r="K184" s="17" t="n">
        <v>770149</v>
      </c>
      <c r="L184" s="16" t="inlineStr">
        <is>
          <t>Bucaramanga ZF</t>
        </is>
      </c>
      <c r="M184" s="16" t="inlineStr">
        <is>
          <t>UNILEVER ANDINA COLOMBIA LTDA/CONCILIACION</t>
        </is>
      </c>
      <c r="N184" s="18">
        <f>+H184&amp;" "&amp;E184</f>
        <v/>
      </c>
      <c r="O184" s="18" t="inlineStr">
        <is>
          <t>Ventas</t>
        </is>
      </c>
    </row>
    <row r="185">
      <c r="A185" s="16" t="n">
        <v>960</v>
      </c>
      <c r="B185" s="16" t="inlineStr">
        <is>
          <t>Pagado</t>
        </is>
      </c>
      <c r="C185" s="16" t="n">
        <v>860002518</v>
      </c>
      <c r="D185" s="16" t="inlineStr">
        <is>
          <t>UNILEVER ANDINA COLOMBIA LTDA</t>
        </is>
      </c>
      <c r="E185" s="16" t="inlineStr">
        <is>
          <t>PMP1273390</t>
        </is>
      </c>
      <c r="F185" s="16" t="inlineStr">
        <is>
          <t>15/09/2025</t>
        </is>
      </c>
      <c r="G185" s="16" t="n">
        <v>5100322924</v>
      </c>
      <c r="H185" s="16" t="inlineStr">
        <is>
          <t>Factura Acrededor</t>
        </is>
      </c>
      <c r="I185" s="16" t="inlineStr">
        <is>
          <t>11/08/2025</t>
        </is>
      </c>
      <c r="J185" s="16" t="n">
        <v>0</v>
      </c>
      <c r="K185" s="17" t="n">
        <v>-27635502</v>
      </c>
      <c r="L185" s="16" t="inlineStr">
        <is>
          <t>Barranquilla</t>
        </is>
      </c>
      <c r="M185" s="16" t="inlineStr">
        <is>
          <t>UNILEVER ANDINA COLOMBIA LTDA</t>
        </is>
      </c>
      <c r="N185" s="18">
        <f>+H185&amp;" "&amp; E185</f>
        <v/>
      </c>
      <c r="O185" s="18" t="inlineStr">
        <is>
          <t>Cartera</t>
        </is>
      </c>
    </row>
    <row r="186">
      <c r="A186" s="16" t="n">
        <v>961</v>
      </c>
      <c r="B186" s="16" t="inlineStr">
        <is>
          <t>Pagado</t>
        </is>
      </c>
      <c r="C186" s="16" t="n">
        <v>860002518</v>
      </c>
      <c r="D186" s="16" t="inlineStr">
        <is>
          <t>UNILEVER ANDINA COLOMBIA LTDA</t>
        </is>
      </c>
      <c r="E186" s="16" t="inlineStr">
        <is>
          <t>PMP1273390</t>
        </is>
      </c>
      <c r="F186" s="16" t="inlineStr">
        <is>
          <t>15/09/2025</t>
        </is>
      </c>
      <c r="G186" s="16" t="n">
        <v>5100322925</v>
      </c>
      <c r="H186" s="16" t="inlineStr">
        <is>
          <t>Reduc Factura Compra</t>
        </is>
      </c>
      <c r="I186" s="16" t="inlineStr">
        <is>
          <t>11/08/2025</t>
        </is>
      </c>
      <c r="J186" s="16" t="n">
        <v>0</v>
      </c>
      <c r="K186" s="17" t="n">
        <v>729845</v>
      </c>
      <c r="L186" s="16" t="inlineStr">
        <is>
          <t>Barranquilla</t>
        </is>
      </c>
      <c r="M186" s="16" t="inlineStr">
        <is>
          <t>UNILEVER ANDINA COLOMBIA LTDA</t>
        </is>
      </c>
      <c r="N186" s="18">
        <f>+H186&amp;" "&amp;E186</f>
        <v/>
      </c>
      <c r="O186" s="18" t="inlineStr">
        <is>
          <t>Ventas</t>
        </is>
      </c>
    </row>
    <row r="187">
      <c r="A187" s="16" t="n">
        <v>981</v>
      </c>
      <c r="B187" s="16" t="inlineStr">
        <is>
          <t>Pagado</t>
        </is>
      </c>
      <c r="C187" s="16" t="n">
        <v>860002518</v>
      </c>
      <c r="D187" s="16" t="inlineStr">
        <is>
          <t>UNILEVER ANDINA COLOMBIA LTDA</t>
        </is>
      </c>
      <c r="E187" s="16" t="n">
        <v>5009058562</v>
      </c>
      <c r="F187" s="16" t="inlineStr">
        <is>
          <t>02/09/2025</t>
        </is>
      </c>
      <c r="G187" s="16" t="n">
        <v>5100344907</v>
      </c>
      <c r="H187" s="16" t="inlineStr">
        <is>
          <t>Devolucion</t>
        </is>
      </c>
      <c r="I187" s="16" t="inlineStr">
        <is>
          <t>30/08/2025</t>
        </is>
      </c>
      <c r="J187" s="16" t="n">
        <v>0</v>
      </c>
      <c r="K187" s="17" t="n">
        <v>2743</v>
      </c>
      <c r="L187" s="16" t="inlineStr">
        <is>
          <t>Cerritos</t>
        </is>
      </c>
      <c r="N187" s="18">
        <f>_xlfn.CONCAT(H187 &amp;" "&amp; E187)</f>
        <v/>
      </c>
      <c r="O187" s="18" t="inlineStr">
        <is>
          <t>AVERIAS</t>
        </is>
      </c>
    </row>
    <row r="188">
      <c r="A188" s="16" t="n">
        <v>982</v>
      </c>
      <c r="B188" s="16" t="inlineStr">
        <is>
          <t>Pagado</t>
        </is>
      </c>
      <c r="C188" s="16" t="n">
        <v>860002518</v>
      </c>
      <c r="D188" s="16" t="inlineStr">
        <is>
          <t>UNILEVER ANDINA COLOMBIA LTDA</t>
        </is>
      </c>
      <c r="F188" s="16" t="inlineStr">
        <is>
          <t>02/09/2025</t>
        </is>
      </c>
      <c r="G188" s="16" t="n">
        <v>1700026574</v>
      </c>
      <c r="H188" s="16" t="inlineStr">
        <is>
          <t>Nota</t>
        </is>
      </c>
      <c r="I188" s="16" t="inlineStr">
        <is>
          <t>30/08/2025</t>
        </is>
      </c>
      <c r="J188" s="16" t="n">
        <v>0</v>
      </c>
      <c r="K188" s="17" t="n">
        <v>17897326</v>
      </c>
      <c r="L188" s="16" t="inlineStr">
        <is>
          <t>Cota</t>
        </is>
      </c>
      <c r="M188" s="16" t="inlineStr">
        <is>
          <t>TRASPASO DE REG.A OBS.LAB.UNILEVER 30.08.2025</t>
        </is>
      </c>
      <c r="N188" s="18">
        <f>+M188</f>
        <v/>
      </c>
      <c r="O188" s="18" t="inlineStr">
        <is>
          <t>Ventas</t>
        </is>
      </c>
    </row>
    <row r="189">
      <c r="A189" s="16" t="n">
        <v>983</v>
      </c>
      <c r="B189" s="16" t="inlineStr">
        <is>
          <t>Pagado</t>
        </is>
      </c>
      <c r="C189" s="16" t="n">
        <v>860002518</v>
      </c>
      <c r="D189" s="16" t="inlineStr">
        <is>
          <t>UNILEVER ANDINA COLOMBIA LTDA</t>
        </is>
      </c>
      <c r="E189" s="16" t="n">
        <v>5009060497</v>
      </c>
      <c r="F189" s="16" t="inlineStr">
        <is>
          <t>02/09/2025</t>
        </is>
      </c>
      <c r="G189" s="16" t="n">
        <v>5100346787</v>
      </c>
      <c r="H189" s="16" t="inlineStr">
        <is>
          <t>Devolucion</t>
        </is>
      </c>
      <c r="I189" s="16" t="inlineStr">
        <is>
          <t>01/09/2025</t>
        </is>
      </c>
      <c r="J189" s="16" t="n">
        <v>0</v>
      </c>
      <c r="K189" s="17" t="n">
        <v>703287</v>
      </c>
      <c r="L189" s="16" t="inlineStr">
        <is>
          <t>Cota</t>
        </is>
      </c>
      <c r="N189" s="18">
        <f>_xlfn.CONCAT(H189 &amp;" "&amp; E189)</f>
        <v/>
      </c>
      <c r="O189" s="18" t="inlineStr">
        <is>
          <t>AVERIAS</t>
        </is>
      </c>
    </row>
    <row r="190">
      <c r="A190" s="16" t="n">
        <v>984</v>
      </c>
      <c r="B190" s="16" t="inlineStr">
        <is>
          <t>Pagado</t>
        </is>
      </c>
      <c r="C190" s="16" t="n">
        <v>860002518</v>
      </c>
      <c r="D190" s="16" t="inlineStr">
        <is>
          <t>UNILEVER ANDINA COLOMBIA LTDA</t>
        </is>
      </c>
      <c r="E190" s="16" t="n">
        <v>5009065495</v>
      </c>
      <c r="F190" s="16" t="inlineStr">
        <is>
          <t>02/09/2025</t>
        </is>
      </c>
      <c r="G190" s="16" t="n">
        <v>5100348034</v>
      </c>
      <c r="H190" s="16" t="inlineStr">
        <is>
          <t>Devolucion</t>
        </is>
      </c>
      <c r="I190" s="16" t="inlineStr">
        <is>
          <t>02/09/2025</t>
        </is>
      </c>
      <c r="J190" s="16" t="n">
        <v>0</v>
      </c>
      <c r="K190" s="17" t="n">
        <v>3133</v>
      </c>
      <c r="L190" s="16" t="inlineStr">
        <is>
          <t>Palmira</t>
        </is>
      </c>
      <c r="N190" s="18">
        <f>_xlfn.CONCAT(H190 &amp;" "&amp; E190)</f>
        <v/>
      </c>
      <c r="O190" s="18" t="inlineStr">
        <is>
          <t>AVERIAS</t>
        </is>
      </c>
    </row>
    <row r="191">
      <c r="A191" s="16" t="n">
        <v>985</v>
      </c>
      <c r="B191" s="16" t="inlineStr">
        <is>
          <t>Pagado</t>
        </is>
      </c>
      <c r="C191" s="16" t="n">
        <v>860002518</v>
      </c>
      <c r="D191" s="16" t="inlineStr">
        <is>
          <t>UNILEVER ANDINA COLOMBIA LTDA</t>
        </is>
      </c>
      <c r="E191" s="16" t="n">
        <v>5009067560</v>
      </c>
      <c r="F191" s="16" t="inlineStr">
        <is>
          <t>04/09/2025</t>
        </is>
      </c>
      <c r="G191" s="16" t="n">
        <v>5100348362</v>
      </c>
      <c r="H191" s="16" t="inlineStr">
        <is>
          <t>Devolucion</t>
        </is>
      </c>
      <c r="I191" s="16" t="inlineStr">
        <is>
          <t>02/09/2025</t>
        </is>
      </c>
      <c r="J191" s="16" t="n">
        <v>0</v>
      </c>
      <c r="K191" s="17" t="n">
        <v>2743</v>
      </c>
      <c r="L191" s="16" t="inlineStr">
        <is>
          <t>Cota</t>
        </is>
      </c>
      <c r="N191" s="18">
        <f>_xlfn.CONCAT(H191 &amp;" "&amp; E191)</f>
        <v/>
      </c>
      <c r="O191" s="18" t="inlineStr">
        <is>
          <t>AVERIAS</t>
        </is>
      </c>
    </row>
    <row r="192">
      <c r="A192" s="16" t="n">
        <v>986</v>
      </c>
      <c r="B192" s="16" t="inlineStr">
        <is>
          <t>Pagado</t>
        </is>
      </c>
      <c r="C192" s="16" t="n">
        <v>860002518</v>
      </c>
      <c r="D192" s="16" t="inlineStr">
        <is>
          <t>UNILEVER ANDINA COLOMBIA LTDA</t>
        </is>
      </c>
      <c r="E192" s="16" t="n">
        <v>5009069427</v>
      </c>
      <c r="F192" s="16" t="inlineStr">
        <is>
          <t>04/09/2025</t>
        </is>
      </c>
      <c r="G192" s="16" t="n">
        <v>5100348729</v>
      </c>
      <c r="H192" s="16" t="inlineStr">
        <is>
          <t>Devolucion</t>
        </is>
      </c>
      <c r="I192" s="16" t="inlineStr">
        <is>
          <t>02/09/2025</t>
        </is>
      </c>
      <c r="J192" s="16" t="n">
        <v>0</v>
      </c>
      <c r="K192" s="17" t="n">
        <v>96276</v>
      </c>
      <c r="L192" s="16" t="inlineStr">
        <is>
          <t>Barranquilla</t>
        </is>
      </c>
      <c r="N192" s="18">
        <f>_xlfn.CONCAT(H192 &amp;" "&amp; E192)</f>
        <v/>
      </c>
      <c r="O192" s="18" t="inlineStr">
        <is>
          <t>AVERIAS</t>
        </is>
      </c>
    </row>
    <row r="193">
      <c r="A193" s="16" t="n">
        <v>987</v>
      </c>
      <c r="B193" s="16" t="inlineStr">
        <is>
          <t>Pagado</t>
        </is>
      </c>
      <c r="C193" s="16" t="n">
        <v>860002518</v>
      </c>
      <c r="D193" s="16" t="inlineStr">
        <is>
          <t>UNILEVER ANDINA COLOMBIA LTDA</t>
        </is>
      </c>
      <c r="E193" s="16" t="n">
        <v>5009071348</v>
      </c>
      <c r="F193" s="16" t="inlineStr">
        <is>
          <t>04/09/2025</t>
        </is>
      </c>
      <c r="G193" s="16" t="n">
        <v>5100349338</v>
      </c>
      <c r="H193" s="16" t="inlineStr">
        <is>
          <t>Devolucion</t>
        </is>
      </c>
      <c r="I193" s="16" t="inlineStr">
        <is>
          <t>02/09/2025</t>
        </is>
      </c>
      <c r="J193" s="16" t="n">
        <v>0</v>
      </c>
      <c r="K193" s="17" t="n">
        <v>45670</v>
      </c>
      <c r="L193" s="16" t="inlineStr">
        <is>
          <t>Palmira</t>
        </is>
      </c>
      <c r="N193" s="18">
        <f>_xlfn.CONCAT(H193 &amp;" "&amp; E193)</f>
        <v/>
      </c>
      <c r="O193" s="18" t="inlineStr">
        <is>
          <t>AVERIAS</t>
        </is>
      </c>
    </row>
    <row r="194">
      <c r="A194" s="16" t="n">
        <v>988</v>
      </c>
      <c r="B194" s="16" t="inlineStr">
        <is>
          <t>Pagado</t>
        </is>
      </c>
      <c r="C194" s="16" t="n">
        <v>860002518</v>
      </c>
      <c r="D194" s="16" t="inlineStr">
        <is>
          <t>UNILEVER ANDINA COLOMBIA LTDA</t>
        </is>
      </c>
      <c r="E194" s="16" t="n">
        <v>5009072657</v>
      </c>
      <c r="F194" s="16" t="inlineStr">
        <is>
          <t>04/09/2025</t>
        </is>
      </c>
      <c r="G194" s="16" t="n">
        <v>5100349778</v>
      </c>
      <c r="H194" s="16" t="inlineStr">
        <is>
          <t>Devolucion</t>
        </is>
      </c>
      <c r="I194" s="16" t="inlineStr">
        <is>
          <t>03/09/2025</t>
        </is>
      </c>
      <c r="J194" s="16" t="n">
        <v>0</v>
      </c>
      <c r="K194" s="17" t="n">
        <v>33009</v>
      </c>
      <c r="L194" s="16" t="inlineStr">
        <is>
          <t>Cerritos</t>
        </is>
      </c>
      <c r="N194" s="18">
        <f>_xlfn.CONCAT(H194 &amp;" "&amp; E194)</f>
        <v/>
      </c>
      <c r="O194" s="18" t="inlineStr">
        <is>
          <t>AVERIAS</t>
        </is>
      </c>
    </row>
    <row r="195">
      <c r="A195" s="16" t="n">
        <v>989</v>
      </c>
      <c r="B195" s="16" t="inlineStr">
        <is>
          <t>Pagado</t>
        </is>
      </c>
      <c r="C195" s="16" t="n">
        <v>860002518</v>
      </c>
      <c r="D195" s="16" t="inlineStr">
        <is>
          <t>UNILEVER ANDINA COLOMBIA LTDA</t>
        </is>
      </c>
      <c r="E195" s="16" t="n">
        <v>5009073505</v>
      </c>
      <c r="F195" s="16" t="inlineStr">
        <is>
          <t>04/09/2025</t>
        </is>
      </c>
      <c r="G195" s="16" t="n">
        <v>5100349924</v>
      </c>
      <c r="H195" s="16" t="inlineStr">
        <is>
          <t>Devolucion</t>
        </is>
      </c>
      <c r="I195" s="16" t="inlineStr">
        <is>
          <t>03/09/2025</t>
        </is>
      </c>
      <c r="J195" s="16" t="n">
        <v>0</v>
      </c>
      <c r="K195" s="17" t="n">
        <v>25232</v>
      </c>
      <c r="L195" s="16" t="inlineStr">
        <is>
          <t>Cerritos</t>
        </is>
      </c>
      <c r="N195" s="18">
        <f>_xlfn.CONCAT(H195 &amp;" "&amp; E195)</f>
        <v/>
      </c>
      <c r="O195" s="18" t="inlineStr">
        <is>
          <t>AVERIAS</t>
        </is>
      </c>
    </row>
    <row r="196">
      <c r="A196" s="16" t="n">
        <v>990</v>
      </c>
      <c r="B196" s="16" t="inlineStr">
        <is>
          <t>Pagado</t>
        </is>
      </c>
      <c r="C196" s="16" t="n">
        <v>860002518</v>
      </c>
      <c r="D196" s="16" t="inlineStr">
        <is>
          <t>UNILEVER ANDINA COLOMBIA LTDA</t>
        </is>
      </c>
      <c r="E196" s="16" t="n">
        <v>5009084015</v>
      </c>
      <c r="F196" s="16" t="inlineStr">
        <is>
          <t>09/09/2025</t>
        </is>
      </c>
      <c r="G196" s="16" t="n">
        <v>5100352132</v>
      </c>
      <c r="H196" s="16" t="inlineStr">
        <is>
          <t>Devolucion</t>
        </is>
      </c>
      <c r="I196" s="16" t="inlineStr">
        <is>
          <t>04/09/2025</t>
        </is>
      </c>
      <c r="J196" s="16" t="n">
        <v>0</v>
      </c>
      <c r="K196" s="17" t="n">
        <v>3534</v>
      </c>
      <c r="L196" s="16" t="inlineStr">
        <is>
          <t>Barranquilla</t>
        </is>
      </c>
      <c r="N196" s="18">
        <f>_xlfn.CONCAT(H196 &amp;" "&amp; E196)</f>
        <v/>
      </c>
      <c r="O196" s="18" t="inlineStr">
        <is>
          <t>AVERIAS</t>
        </is>
      </c>
    </row>
    <row r="197">
      <c r="A197" s="16" t="n">
        <v>991</v>
      </c>
      <c r="B197" s="16" t="inlineStr">
        <is>
          <t>Pagado</t>
        </is>
      </c>
      <c r="C197" s="16" t="n">
        <v>860002518</v>
      </c>
      <c r="D197" s="16" t="inlineStr">
        <is>
          <t>UNILEVER ANDINA COLOMBIA LTDA</t>
        </is>
      </c>
      <c r="E197" s="16" t="n">
        <v>5009084016</v>
      </c>
      <c r="F197" s="16" t="inlineStr">
        <is>
          <t>09/09/2025</t>
        </is>
      </c>
      <c r="G197" s="16" t="n">
        <v>5100352133</v>
      </c>
      <c r="H197" s="16" t="inlineStr">
        <is>
          <t>Devolucion</t>
        </is>
      </c>
      <c r="I197" s="16" t="inlineStr">
        <is>
          <t>04/09/2025</t>
        </is>
      </c>
      <c r="J197" s="16" t="n">
        <v>0</v>
      </c>
      <c r="K197" s="17" t="n">
        <v>18286</v>
      </c>
      <c r="L197" s="16" t="inlineStr">
        <is>
          <t>Barranquilla</t>
        </is>
      </c>
      <c r="N197" s="18">
        <f>_xlfn.CONCAT(H197 &amp;" "&amp; E197)</f>
        <v/>
      </c>
      <c r="O197" s="18" t="inlineStr">
        <is>
          <t>AVERIAS</t>
        </is>
      </c>
    </row>
    <row r="198">
      <c r="A198" s="16" t="n">
        <v>992</v>
      </c>
      <c r="B198" s="16" t="inlineStr">
        <is>
          <t>Pagado</t>
        </is>
      </c>
      <c r="C198" s="16" t="n">
        <v>860002518</v>
      </c>
      <c r="D198" s="16" t="inlineStr">
        <is>
          <t>UNILEVER ANDINA COLOMBIA LTDA</t>
        </is>
      </c>
      <c r="E198" s="16" t="inlineStr">
        <is>
          <t>NOTA DEVOLUCIÓN</t>
        </is>
      </c>
      <c r="F198" s="16" t="inlineStr">
        <is>
          <t>09/09/2025</t>
        </is>
      </c>
      <c r="G198" s="16" t="n">
        <v>1700027316</v>
      </c>
      <c r="H198" s="16" t="inlineStr">
        <is>
          <t>Nota</t>
        </is>
      </c>
      <c r="I198" s="16" t="inlineStr">
        <is>
          <t>05/09/2025</t>
        </is>
      </c>
      <c r="J198" s="16" t="n">
        <v>0</v>
      </c>
      <c r="K198" s="17" t="n">
        <v>7592643</v>
      </c>
      <c r="L198" s="16" t="inlineStr">
        <is>
          <t>Cerritos</t>
        </is>
      </c>
      <c r="M198" s="16" t="inlineStr">
        <is>
          <t>NOTA DEVOLUCIÓN POR DEPURACIÓN INVENTARIO SEP 25</t>
        </is>
      </c>
      <c r="N198" s="18">
        <f>+M198</f>
        <v/>
      </c>
      <c r="O198" s="18" t="inlineStr">
        <is>
          <t>Ventas</t>
        </is>
      </c>
    </row>
    <row r="199">
      <c r="A199" s="16" t="n">
        <v>993</v>
      </c>
      <c r="B199" s="16" t="inlineStr">
        <is>
          <t>Pagado</t>
        </is>
      </c>
      <c r="C199" s="16" t="n">
        <v>860002518</v>
      </c>
      <c r="D199" s="16" t="inlineStr">
        <is>
          <t>UNILEVER ANDINA COLOMBIA LTDA</t>
        </is>
      </c>
      <c r="E199" s="16" t="inlineStr">
        <is>
          <t>NOTA DEVOLUCIÓN</t>
        </is>
      </c>
      <c r="F199" s="16" t="inlineStr">
        <is>
          <t>09/09/2025</t>
        </is>
      </c>
      <c r="G199" s="16" t="n">
        <v>1700027504</v>
      </c>
      <c r="H199" s="16" t="inlineStr">
        <is>
          <t>Nota</t>
        </is>
      </c>
      <c r="I199" s="16" t="inlineStr">
        <is>
          <t>05/09/2025</t>
        </is>
      </c>
      <c r="J199" s="16" t="n">
        <v>0</v>
      </c>
      <c r="K199" s="17" t="n">
        <v>1614844</v>
      </c>
      <c r="L199" s="16" t="inlineStr">
        <is>
          <t>Barranquilla</t>
        </is>
      </c>
      <c r="M199" s="16" t="inlineStr">
        <is>
          <t>NOTA DEVOLUCIÓN POR DEPURACIÓN INVENTARIO SEP 25</t>
        </is>
      </c>
      <c r="N199" s="18">
        <f>+M199</f>
        <v/>
      </c>
      <c r="O199" s="18" t="inlineStr">
        <is>
          <t>Ventas</t>
        </is>
      </c>
    </row>
    <row r="200">
      <c r="A200" s="16" t="n">
        <v>994</v>
      </c>
      <c r="B200" s="16" t="inlineStr">
        <is>
          <t>Pagado</t>
        </is>
      </c>
      <c r="C200" s="16" t="n">
        <v>860002518</v>
      </c>
      <c r="D200" s="16" t="inlineStr">
        <is>
          <t>UNILEVER ANDINA COLOMBIA LTDA</t>
        </is>
      </c>
      <c r="E200" s="16" t="inlineStr">
        <is>
          <t>NOTA DEVOLUCIÓN</t>
        </is>
      </c>
      <c r="F200" s="16" t="inlineStr">
        <is>
          <t>09/09/2025</t>
        </is>
      </c>
      <c r="G200" s="16" t="n">
        <v>1700027698</v>
      </c>
      <c r="H200" s="16" t="inlineStr">
        <is>
          <t>Nota</t>
        </is>
      </c>
      <c r="I200" s="16" t="inlineStr">
        <is>
          <t>05/09/2025</t>
        </is>
      </c>
      <c r="J200" s="16" t="n">
        <v>0</v>
      </c>
      <c r="K200" s="17" t="n">
        <v>2542515</v>
      </c>
      <c r="L200" s="16" t="inlineStr">
        <is>
          <t>Palmira</t>
        </is>
      </c>
      <c r="M200" s="16" t="inlineStr">
        <is>
          <t>NOTA DEVOLUCIÓN POR DEPURACIÓN INVENTARIO SEP 25</t>
        </is>
      </c>
      <c r="N200" s="18">
        <f>+M200</f>
        <v/>
      </c>
      <c r="O200" s="18" t="inlineStr">
        <is>
          <t>Ventas</t>
        </is>
      </c>
    </row>
    <row r="201">
      <c r="A201" s="16" t="n">
        <v>995</v>
      </c>
      <c r="B201" s="16" t="inlineStr">
        <is>
          <t>Pagado</t>
        </is>
      </c>
      <c r="C201" s="16" t="n">
        <v>860002518</v>
      </c>
      <c r="D201" s="16" t="inlineStr">
        <is>
          <t>UNILEVER ANDINA COLOMBIA LTDA</t>
        </is>
      </c>
      <c r="E201" s="16" t="inlineStr">
        <is>
          <t>NOTA DEVOLUCIÓN</t>
        </is>
      </c>
      <c r="F201" s="16" t="inlineStr">
        <is>
          <t>09/09/2025</t>
        </is>
      </c>
      <c r="G201" s="16" t="n">
        <v>1700027854</v>
      </c>
      <c r="H201" s="16" t="inlineStr">
        <is>
          <t>Nota</t>
        </is>
      </c>
      <c r="I201" s="16" t="inlineStr">
        <is>
          <t>05/09/2025</t>
        </is>
      </c>
      <c r="J201" s="16" t="n">
        <v>0</v>
      </c>
      <c r="K201" s="17" t="n">
        <v>2946257</v>
      </c>
      <c r="L201" s="16" t="inlineStr">
        <is>
          <t>Cota</t>
        </is>
      </c>
      <c r="M201" s="16" t="inlineStr">
        <is>
          <t>NOTA DEVOLUCIÓN POR DEPURACIÓN INVENTARIO SEP 25</t>
        </is>
      </c>
      <c r="N201" s="18">
        <f>+M201</f>
        <v/>
      </c>
      <c r="O201" s="18" t="inlineStr">
        <is>
          <t>Ventas</t>
        </is>
      </c>
    </row>
    <row r="202">
      <c r="A202" s="16" t="n">
        <v>996</v>
      </c>
      <c r="B202" s="16" t="inlineStr">
        <is>
          <t>Pagado</t>
        </is>
      </c>
      <c r="C202" s="16" t="n">
        <v>860002518</v>
      </c>
      <c r="D202" s="16" t="inlineStr">
        <is>
          <t>UNILEVER ANDINA COLOMBIA LTDA</t>
        </is>
      </c>
      <c r="E202" s="16" t="inlineStr">
        <is>
          <t>NOTA DEVOLUCIÓN</t>
        </is>
      </c>
      <c r="F202" s="16" t="inlineStr">
        <is>
          <t>09/09/2025</t>
        </is>
      </c>
      <c r="G202" s="16" t="n">
        <v>1700028004</v>
      </c>
      <c r="H202" s="16" t="inlineStr">
        <is>
          <t>Nota</t>
        </is>
      </c>
      <c r="I202" s="16" t="inlineStr">
        <is>
          <t>05/09/2025</t>
        </is>
      </c>
      <c r="J202" s="16" t="n">
        <v>0</v>
      </c>
      <c r="K202" s="17" t="n">
        <v>2467791</v>
      </c>
      <c r="L202" s="16" t="inlineStr">
        <is>
          <t>Bucaramanga ZF</t>
        </is>
      </c>
      <c r="M202" s="16" t="inlineStr">
        <is>
          <t>NOTA DEVOLUCIÓN POR DEPURACIÓN INVENTARIO SEP 25</t>
        </is>
      </c>
      <c r="N202" s="18">
        <f>+M202</f>
        <v/>
      </c>
      <c r="O202" s="18" t="inlineStr">
        <is>
          <t>Ventas</t>
        </is>
      </c>
    </row>
    <row r="203">
      <c r="A203" s="16" t="n">
        <v>997</v>
      </c>
      <c r="B203" s="16" t="inlineStr">
        <is>
          <t>Pagado</t>
        </is>
      </c>
      <c r="C203" s="16" t="n">
        <v>860002518</v>
      </c>
      <c r="D203" s="16" t="inlineStr">
        <is>
          <t>UNILEVER ANDINA COLOMBIA LTDA</t>
        </is>
      </c>
      <c r="E203" s="16" t="inlineStr">
        <is>
          <t>NOTA DEVOLUCIÓN</t>
        </is>
      </c>
      <c r="F203" s="16" t="inlineStr">
        <is>
          <t>09/09/2025</t>
        </is>
      </c>
      <c r="G203" s="16" t="n">
        <v>1700028195</v>
      </c>
      <c r="H203" s="16" t="inlineStr">
        <is>
          <t>Nota</t>
        </is>
      </c>
      <c r="I203" s="16" t="inlineStr">
        <is>
          <t>05/09/2025</t>
        </is>
      </c>
      <c r="J203" s="16" t="n">
        <v>0</v>
      </c>
      <c r="K203" s="17" t="n">
        <v>1686385</v>
      </c>
      <c r="M203" s="16" t="inlineStr">
        <is>
          <t>NOTA DEVOLUCIÓN POR DEPURACIÓN INVENTARIO SEP 25</t>
        </is>
      </c>
      <c r="N203" s="18">
        <f>+M203</f>
        <v/>
      </c>
      <c r="O203" s="18" t="inlineStr">
        <is>
          <t>Ventas</t>
        </is>
      </c>
    </row>
    <row r="204">
      <c r="A204" s="16" t="n">
        <v>998</v>
      </c>
      <c r="B204" s="16" t="inlineStr">
        <is>
          <t>Pagado</t>
        </is>
      </c>
      <c r="C204" s="16" t="n">
        <v>860002518</v>
      </c>
      <c r="D204" s="16" t="inlineStr">
        <is>
          <t>UNILEVER ANDINA COLOMBIA LTDA</t>
        </is>
      </c>
      <c r="E204" s="16" t="n">
        <v>5009088425</v>
      </c>
      <c r="F204" s="16" t="inlineStr">
        <is>
          <t>09/09/2025</t>
        </is>
      </c>
      <c r="G204" s="16" t="n">
        <v>5100353303</v>
      </c>
      <c r="H204" s="16" t="inlineStr">
        <is>
          <t>Devolucion</t>
        </is>
      </c>
      <c r="I204" s="16" t="inlineStr">
        <is>
          <t>05/09/2025</t>
        </is>
      </c>
      <c r="J204" s="16" t="n">
        <v>0</v>
      </c>
      <c r="K204" s="17" t="n">
        <v>35505</v>
      </c>
      <c r="L204" s="16" t="inlineStr">
        <is>
          <t>Cerritos</t>
        </is>
      </c>
      <c r="N204" s="18">
        <f>_xlfn.CONCAT(H204 &amp;" "&amp; E204)</f>
        <v/>
      </c>
      <c r="O204" s="18" t="inlineStr">
        <is>
          <t>AVERIAS</t>
        </is>
      </c>
    </row>
    <row r="205">
      <c r="A205" s="16" t="n">
        <v>999</v>
      </c>
      <c r="B205" s="16" t="inlineStr">
        <is>
          <t>Pagado</t>
        </is>
      </c>
      <c r="C205" s="16" t="n">
        <v>860002518</v>
      </c>
      <c r="D205" s="16" t="inlineStr">
        <is>
          <t>UNILEVER ANDINA COLOMBIA LTDA</t>
        </is>
      </c>
      <c r="E205" s="16" t="n">
        <v>5009088012</v>
      </c>
      <c r="F205" s="16" t="inlineStr">
        <is>
          <t>09/09/2025</t>
        </is>
      </c>
      <c r="G205" s="16" t="n">
        <v>5100353129</v>
      </c>
      <c r="H205" s="16" t="inlineStr">
        <is>
          <t>Devolucion</t>
        </is>
      </c>
      <c r="I205" s="16" t="inlineStr">
        <is>
          <t>05/09/2025</t>
        </is>
      </c>
      <c r="J205" s="16" t="n">
        <v>0</v>
      </c>
      <c r="K205" s="17" t="n">
        <v>30239</v>
      </c>
      <c r="N205" s="18">
        <f>_xlfn.CONCAT(H205 &amp;" "&amp; E205)</f>
        <v/>
      </c>
      <c r="O205" s="18" t="inlineStr">
        <is>
          <t>AVERIAS</t>
        </is>
      </c>
    </row>
    <row r="206">
      <c r="A206" s="16" t="n">
        <v>1000</v>
      </c>
      <c r="B206" s="16" t="inlineStr">
        <is>
          <t>Pagado</t>
        </is>
      </c>
      <c r="C206" s="16" t="n">
        <v>860002518</v>
      </c>
      <c r="D206" s="16" t="inlineStr">
        <is>
          <t>UNILEVER ANDINA COLOMBIA LTDA</t>
        </is>
      </c>
      <c r="E206" s="16" t="n">
        <v>5009087645</v>
      </c>
      <c r="F206" s="16" t="inlineStr">
        <is>
          <t>09/09/2025</t>
        </is>
      </c>
      <c r="G206" s="16" t="n">
        <v>5100353048</v>
      </c>
      <c r="H206" s="16" t="inlineStr">
        <is>
          <t>Devolucion</t>
        </is>
      </c>
      <c r="I206" s="16" t="inlineStr">
        <is>
          <t>05/09/2025</t>
        </is>
      </c>
      <c r="J206" s="16" t="n">
        <v>0</v>
      </c>
      <c r="K206" s="17" t="n">
        <v>278553</v>
      </c>
      <c r="N206" s="18">
        <f>_xlfn.CONCAT(H206 &amp;" "&amp; E206)</f>
        <v/>
      </c>
      <c r="O206" s="18" t="inlineStr">
        <is>
          <t>AVERIAS</t>
        </is>
      </c>
    </row>
    <row r="207">
      <c r="A207" s="16" t="n">
        <v>1001</v>
      </c>
      <c r="B207" s="16" t="inlineStr">
        <is>
          <t>Pagado</t>
        </is>
      </c>
      <c r="C207" s="16" t="n">
        <v>860002518</v>
      </c>
      <c r="D207" s="16" t="inlineStr">
        <is>
          <t>UNILEVER ANDINA COLOMBIA LTDA</t>
        </is>
      </c>
      <c r="E207" s="16" t="n">
        <v>5009087872</v>
      </c>
      <c r="F207" s="16" t="inlineStr">
        <is>
          <t>09/09/2025</t>
        </is>
      </c>
      <c r="G207" s="16" t="n">
        <v>5100353082</v>
      </c>
      <c r="H207" s="16" t="inlineStr">
        <is>
          <t>Devolucion</t>
        </is>
      </c>
      <c r="I207" s="16" t="inlineStr">
        <is>
          <t>05/09/2025</t>
        </is>
      </c>
      <c r="J207" s="16" t="n">
        <v>0</v>
      </c>
      <c r="K207" s="17" t="n">
        <v>22548</v>
      </c>
      <c r="N207" s="18">
        <f>_xlfn.CONCAT(H207 &amp;" "&amp; E207)</f>
        <v/>
      </c>
      <c r="O207" s="18" t="inlineStr">
        <is>
          <t>AVERIAS</t>
        </is>
      </c>
    </row>
    <row r="208">
      <c r="A208" s="16" t="n">
        <v>1002</v>
      </c>
      <c r="B208" s="16" t="inlineStr">
        <is>
          <t>Pagado</t>
        </is>
      </c>
      <c r="C208" s="16" t="n">
        <v>860002518</v>
      </c>
      <c r="D208" s="16" t="inlineStr">
        <is>
          <t>UNILEVER ANDINA COLOMBIA LTDA</t>
        </is>
      </c>
      <c r="E208" s="16" t="n">
        <v>5009097610</v>
      </c>
      <c r="F208" s="16" t="inlineStr">
        <is>
          <t>09/09/2025</t>
        </is>
      </c>
      <c r="G208" s="16" t="n">
        <v>5100355897</v>
      </c>
      <c r="H208" s="16" t="inlineStr">
        <is>
          <t>Devolucion</t>
        </is>
      </c>
      <c r="I208" s="16" t="inlineStr">
        <is>
          <t>08/09/2025</t>
        </is>
      </c>
      <c r="J208" s="16" t="n">
        <v>0</v>
      </c>
      <c r="K208" s="17" t="n">
        <v>2743</v>
      </c>
      <c r="L208" s="16" t="inlineStr">
        <is>
          <t>Cerritos</t>
        </is>
      </c>
      <c r="N208" s="18">
        <f>_xlfn.CONCAT(H208 &amp;" "&amp; E208)</f>
        <v/>
      </c>
      <c r="O208" s="18" t="inlineStr">
        <is>
          <t>AVERIAS</t>
        </is>
      </c>
    </row>
    <row r="209">
      <c r="A209" s="16" t="n">
        <v>1003</v>
      </c>
      <c r="B209" s="16" t="inlineStr">
        <is>
          <t>Pagado</t>
        </is>
      </c>
      <c r="C209" s="16" t="n">
        <v>860002518</v>
      </c>
      <c r="D209" s="16" t="inlineStr">
        <is>
          <t>UNILEVER ANDINA COLOMBIA LTDA</t>
        </is>
      </c>
      <c r="E209" s="16" t="inlineStr">
        <is>
          <t>AUT.G.COMERCIAL</t>
        </is>
      </c>
      <c r="F209" s="16" t="inlineStr">
        <is>
          <t>09/09/2025</t>
        </is>
      </c>
      <c r="G209" s="16" t="n">
        <v>1700028338</v>
      </c>
      <c r="H209" s="16" t="inlineStr">
        <is>
          <t>Nota</t>
        </is>
      </c>
      <c r="I209" s="16" t="inlineStr">
        <is>
          <t>08/09/2025</t>
        </is>
      </c>
      <c r="J209" s="16" t="n">
        <v>0</v>
      </c>
      <c r="K209" s="17" t="n">
        <v>111047</v>
      </c>
      <c r="L209" s="16" t="inlineStr">
        <is>
          <t>Cota</t>
        </is>
      </c>
      <c r="M209" s="16" t="inlineStr">
        <is>
          <t>Dev.&gt;.a.30.dias.en.CEDI.8_Sep_</t>
        </is>
      </c>
      <c r="N209" s="18">
        <f>+M209</f>
        <v/>
      </c>
      <c r="O209" s="18" t="inlineStr">
        <is>
          <t xml:space="preserve">COL </t>
        </is>
      </c>
    </row>
    <row r="210">
      <c r="A210" s="16" t="n">
        <v>1004</v>
      </c>
      <c r="B210" s="16" t="inlineStr">
        <is>
          <t>Pagado</t>
        </is>
      </c>
      <c r="C210" s="16" t="n">
        <v>860002518</v>
      </c>
      <c r="D210" s="16" t="inlineStr">
        <is>
          <t>UNILEVER ANDINA COLOMBIA LTDA</t>
        </is>
      </c>
      <c r="E210" s="16" t="n">
        <v>5009095685</v>
      </c>
      <c r="F210" s="16" t="inlineStr">
        <is>
          <t>09/09/2025</t>
        </is>
      </c>
      <c r="G210" s="16" t="n">
        <v>5100355270</v>
      </c>
      <c r="H210" s="16" t="inlineStr">
        <is>
          <t>Devolucion</t>
        </is>
      </c>
      <c r="I210" s="16" t="inlineStr">
        <is>
          <t>08/09/2025</t>
        </is>
      </c>
      <c r="J210" s="16" t="n">
        <v>0</v>
      </c>
      <c r="K210" s="17" t="n">
        <v>14166</v>
      </c>
      <c r="L210" s="16" t="inlineStr">
        <is>
          <t>Cerritos</t>
        </is>
      </c>
      <c r="N210" s="18">
        <f>_xlfn.CONCAT(H210 &amp;" "&amp; E210)</f>
        <v/>
      </c>
      <c r="O210" s="18" t="inlineStr">
        <is>
          <t>AVERIAS</t>
        </is>
      </c>
    </row>
    <row r="211">
      <c r="A211" s="16" t="n">
        <v>1005</v>
      </c>
      <c r="B211" s="16" t="inlineStr">
        <is>
          <t>Pagado</t>
        </is>
      </c>
      <c r="C211" s="16" t="n">
        <v>860002518</v>
      </c>
      <c r="D211" s="16" t="inlineStr">
        <is>
          <t>UNILEVER ANDINA COLOMBIA LTDA</t>
        </is>
      </c>
      <c r="E211" s="16" t="n">
        <v>5009108214</v>
      </c>
      <c r="F211" s="16" t="inlineStr">
        <is>
          <t>12/09/2025</t>
        </is>
      </c>
      <c r="G211" s="16" t="n">
        <v>5100358331</v>
      </c>
      <c r="H211" s="16" t="inlineStr">
        <is>
          <t>Devolucion</t>
        </is>
      </c>
      <c r="I211" s="16" t="inlineStr">
        <is>
          <t>10/09/2025</t>
        </is>
      </c>
      <c r="J211" s="16" t="n">
        <v>0</v>
      </c>
      <c r="K211" s="17" t="n">
        <v>2743</v>
      </c>
      <c r="L211" s="16" t="inlineStr">
        <is>
          <t>Cerritos</t>
        </is>
      </c>
      <c r="N211" s="18">
        <f>_xlfn.CONCAT(H211 &amp;" "&amp; E211)</f>
        <v/>
      </c>
      <c r="O211" s="18" t="inlineStr">
        <is>
          <t>AVERIAS</t>
        </is>
      </c>
    </row>
    <row r="212">
      <c r="A212" s="16" t="n">
        <v>1006</v>
      </c>
      <c r="B212" s="16" t="inlineStr">
        <is>
          <t>Pagado</t>
        </is>
      </c>
      <c r="C212" s="16" t="n">
        <v>860002518</v>
      </c>
      <c r="D212" s="16" t="inlineStr">
        <is>
          <t>UNILEVER ANDINA COLOMBIA LTDA</t>
        </is>
      </c>
      <c r="E212" s="16" t="n">
        <v>5009109080</v>
      </c>
      <c r="F212" s="16" t="inlineStr">
        <is>
          <t>12/09/2025</t>
        </is>
      </c>
      <c r="G212" s="16" t="n">
        <v>5100358759</v>
      </c>
      <c r="H212" s="16" t="inlineStr">
        <is>
          <t>Devolucion</t>
        </is>
      </c>
      <c r="I212" s="16" t="inlineStr">
        <is>
          <t>10/09/2025</t>
        </is>
      </c>
      <c r="J212" s="16" t="n">
        <v>0</v>
      </c>
      <c r="K212" s="17" t="n">
        <v>13069</v>
      </c>
      <c r="L212" s="16" t="inlineStr">
        <is>
          <t>Cerritos</t>
        </is>
      </c>
      <c r="N212" s="18">
        <f>_xlfn.CONCAT(H212 &amp;" "&amp; E212)</f>
        <v/>
      </c>
      <c r="O212" s="18" t="inlineStr">
        <is>
          <t>AVERIAS</t>
        </is>
      </c>
    </row>
    <row r="213">
      <c r="A213" s="16" t="n">
        <v>1007</v>
      </c>
      <c r="B213" s="16" t="inlineStr">
        <is>
          <t>Pagado</t>
        </is>
      </c>
      <c r="C213" s="16" t="n">
        <v>860002518</v>
      </c>
      <c r="D213" s="16" t="inlineStr">
        <is>
          <t>UNILEVER ANDINA COLOMBIA LTDA</t>
        </is>
      </c>
      <c r="E213" s="16" t="n">
        <v>5009114474</v>
      </c>
      <c r="F213" s="16" t="inlineStr">
        <is>
          <t>12/09/2025</t>
        </is>
      </c>
      <c r="G213" s="16" t="n">
        <v>5100360110</v>
      </c>
      <c r="H213" s="16" t="inlineStr">
        <is>
          <t>Devolucion</t>
        </is>
      </c>
      <c r="I213" s="16" t="inlineStr">
        <is>
          <t>11/09/2025</t>
        </is>
      </c>
      <c r="J213" s="16" t="n">
        <v>0</v>
      </c>
      <c r="K213" s="17" t="n">
        <v>5876</v>
      </c>
      <c r="L213" s="16" t="inlineStr">
        <is>
          <t>Cerritos</t>
        </is>
      </c>
      <c r="N213" s="18">
        <f>_xlfn.CONCAT(H213 &amp;" "&amp; E213)</f>
        <v/>
      </c>
      <c r="O213" s="18" t="inlineStr">
        <is>
          <t>AVERIAS</t>
        </is>
      </c>
    </row>
    <row r="214">
      <c r="A214" s="16" t="n">
        <v>1008</v>
      </c>
      <c r="B214" s="16" t="inlineStr">
        <is>
          <t>Pagado</t>
        </is>
      </c>
      <c r="C214" s="16" t="n">
        <v>860002518</v>
      </c>
      <c r="D214" s="16" t="inlineStr">
        <is>
          <t>UNILEVER ANDINA COLOMBIA LTDA</t>
        </is>
      </c>
      <c r="F214" s="16" t="inlineStr">
        <is>
          <t>15/09/2025</t>
        </is>
      </c>
      <c r="G214" s="16" t="n">
        <v>1700028746</v>
      </c>
      <c r="H214" s="16" t="inlineStr">
        <is>
          <t>Nota</t>
        </is>
      </c>
      <c r="I214" s="16" t="inlineStr">
        <is>
          <t>12/09/2025</t>
        </is>
      </c>
      <c r="J214" s="16" t="n">
        <v>0</v>
      </c>
      <c r="K214" s="17" t="n">
        <v>23192967</v>
      </c>
      <c r="L214" s="16" t="inlineStr">
        <is>
          <t>Cota</t>
        </is>
      </c>
      <c r="M214" s="16" t="inlineStr">
        <is>
          <t>TRASPASO DE REG.A OBS.UNILEVER DIV.C 12.09.2025</t>
        </is>
      </c>
      <c r="N214" s="18">
        <f>+M214</f>
        <v/>
      </c>
      <c r="O214" s="18" t="inlineStr">
        <is>
          <t>Ventas</t>
        </is>
      </c>
    </row>
    <row r="215">
      <c r="A215" s="16" t="n">
        <v>1009</v>
      </c>
      <c r="B215" s="16" t="inlineStr">
        <is>
          <t>Pagado</t>
        </is>
      </c>
      <c r="C215" s="16" t="n">
        <v>860002518</v>
      </c>
      <c r="D215" s="16" t="inlineStr">
        <is>
          <t>UNILEVER ANDINA COLOMBIA LTDA</t>
        </is>
      </c>
      <c r="E215" s="16" t="n">
        <v>5009119419</v>
      </c>
      <c r="F215" s="16" t="inlineStr">
        <is>
          <t>15/09/2025</t>
        </is>
      </c>
      <c r="G215" s="16" t="n">
        <v>5100361619</v>
      </c>
      <c r="H215" s="16" t="inlineStr">
        <is>
          <t>Devolucion</t>
        </is>
      </c>
      <c r="I215" s="16" t="inlineStr">
        <is>
          <t>13/09/2025</t>
        </is>
      </c>
      <c r="J215" s="16" t="n">
        <v>0</v>
      </c>
      <c r="K215" s="17" t="n">
        <v>534867</v>
      </c>
      <c r="L215" s="16" t="inlineStr">
        <is>
          <t>Palmira</t>
        </is>
      </c>
      <c r="N215" s="18">
        <f>_xlfn.CONCAT(H215 &amp;" "&amp; E215)</f>
        <v/>
      </c>
      <c r="O215" s="18" t="inlineStr">
        <is>
          <t>AVERIAS</t>
        </is>
      </c>
    </row>
    <row r="216">
      <c r="A216" s="16" t="n">
        <v>1010</v>
      </c>
      <c r="B216" s="16" t="inlineStr">
        <is>
          <t>Pagado</t>
        </is>
      </c>
      <c r="C216" s="16" t="n">
        <v>860002518</v>
      </c>
      <c r="D216" s="16" t="inlineStr">
        <is>
          <t>UNILEVER ANDINA COLOMBIA LTDA</t>
        </is>
      </c>
      <c r="E216" s="16" t="n">
        <v>5009121095</v>
      </c>
      <c r="F216" s="16" t="inlineStr">
        <is>
          <t>15/09/2025</t>
        </is>
      </c>
      <c r="G216" s="16" t="n">
        <v>5100362089</v>
      </c>
      <c r="H216" s="16" t="inlineStr">
        <is>
          <t>Devolucion</t>
        </is>
      </c>
      <c r="I216" s="16" t="inlineStr">
        <is>
          <t>13/09/2025</t>
        </is>
      </c>
      <c r="J216" s="16" t="n">
        <v>0</v>
      </c>
      <c r="K216" s="17" t="n">
        <v>9729</v>
      </c>
      <c r="L216" s="16" t="inlineStr">
        <is>
          <t>Palmira</t>
        </is>
      </c>
      <c r="N216" s="18">
        <f>_xlfn.CONCAT(H216 &amp;" "&amp; E216)</f>
        <v/>
      </c>
      <c r="O216" s="18" t="inlineStr">
        <is>
          <t>AVERIAS</t>
        </is>
      </c>
    </row>
    <row r="217">
      <c r="A217" s="16" t="n">
        <v>1011</v>
      </c>
      <c r="B217" s="16" t="inlineStr">
        <is>
          <t>Pagado</t>
        </is>
      </c>
      <c r="C217" s="16" t="n">
        <v>860002518</v>
      </c>
      <c r="D217" s="16" t="inlineStr">
        <is>
          <t>UNILEVER ANDINA COLOMBIA LTDA</t>
        </is>
      </c>
      <c r="E217" s="16" t="n">
        <v>5009121270</v>
      </c>
      <c r="F217" s="16" t="inlineStr">
        <is>
          <t>15/09/2025</t>
        </is>
      </c>
      <c r="G217" s="16" t="n">
        <v>5100362173</v>
      </c>
      <c r="H217" s="16" t="inlineStr">
        <is>
          <t>Devolucion</t>
        </is>
      </c>
      <c r="I217" s="16" t="inlineStr">
        <is>
          <t>15/09/2025</t>
        </is>
      </c>
      <c r="J217" s="16" t="n">
        <v>0</v>
      </c>
      <c r="K217" s="17" t="n">
        <v>750120</v>
      </c>
      <c r="L217" s="16" t="inlineStr">
        <is>
          <t>Cota</t>
        </is>
      </c>
      <c r="N217" s="18">
        <f>_xlfn.CONCAT(H217 &amp;" "&amp; E217)</f>
        <v/>
      </c>
      <c r="O217" s="18" t="inlineStr">
        <is>
          <t>AVERIAS</t>
        </is>
      </c>
    </row>
    <row r="218">
      <c r="A218" s="16" t="n">
        <v>1141</v>
      </c>
      <c r="B218" s="16" t="inlineStr">
        <is>
          <t>Pagado</t>
        </is>
      </c>
      <c r="C218" s="16" t="n">
        <v>860002518</v>
      </c>
      <c r="D218" s="16" t="inlineStr">
        <is>
          <t>UNILEVER ANDINA COLOMBIA LTDA</t>
        </is>
      </c>
      <c r="E218" s="16" t="inlineStr">
        <is>
          <t>PMP1256436</t>
        </is>
      </c>
      <c r="F218" s="16" t="inlineStr">
        <is>
          <t>02/09/2025</t>
        </is>
      </c>
      <c r="G218" s="16" t="n">
        <v>5100267332</v>
      </c>
      <c r="H218" s="16" t="inlineStr">
        <is>
          <t>Factura Acrededor</t>
        </is>
      </c>
      <c r="I218" s="16" t="inlineStr">
        <is>
          <t>27/06/2025</t>
        </is>
      </c>
      <c r="J218" s="16" t="n">
        <v>0</v>
      </c>
      <c r="K218" s="17" t="n">
        <v>-39247259</v>
      </c>
      <c r="L218" s="16" t="inlineStr">
        <is>
          <t>Bucaramanga ZF</t>
        </is>
      </c>
      <c r="M218" s="16" t="inlineStr">
        <is>
          <t>UNILEVER ANDINA COLOMBIA LTDA/CONCILIACION</t>
        </is>
      </c>
      <c r="N218" s="18">
        <f>+H218&amp;" "&amp; E218</f>
        <v/>
      </c>
      <c r="O218" s="18" t="inlineStr">
        <is>
          <t>Cartera</t>
        </is>
      </c>
    </row>
    <row r="219">
      <c r="A219" s="16" t="n">
        <v>1142</v>
      </c>
      <c r="B219" s="16" t="inlineStr">
        <is>
          <t>Pagado</t>
        </is>
      </c>
      <c r="C219" s="16" t="n">
        <v>860002518</v>
      </c>
      <c r="D219" s="16" t="inlineStr">
        <is>
          <t>UNILEVER ANDINA COLOMBIA LTDA</t>
        </is>
      </c>
      <c r="E219" s="16" t="inlineStr">
        <is>
          <t>PMP1256436</t>
        </is>
      </c>
      <c r="F219" s="16" t="inlineStr">
        <is>
          <t>02/09/2025</t>
        </is>
      </c>
      <c r="G219" s="16" t="n">
        <v>5100267333</v>
      </c>
      <c r="H219" s="16" t="inlineStr">
        <is>
          <t>Reduc Factura Compra</t>
        </is>
      </c>
      <c r="I219" s="16" t="inlineStr">
        <is>
          <t>27/06/2025</t>
        </is>
      </c>
      <c r="J219" s="16" t="n">
        <v>0</v>
      </c>
      <c r="K219" s="17" t="n">
        <v>16429681</v>
      </c>
      <c r="L219" s="16" t="inlineStr">
        <is>
          <t>Bucaramanga ZF</t>
        </is>
      </c>
      <c r="M219" s="16" t="inlineStr">
        <is>
          <t>UNILEVER ANDINA COLOMBIA LTDA/CONCILIACION</t>
        </is>
      </c>
      <c r="N219" s="18">
        <f>+H219&amp;" "&amp;E219</f>
        <v/>
      </c>
      <c r="O219" s="18" t="inlineStr">
        <is>
          <t>Ventas</t>
        </is>
      </c>
    </row>
    <row r="220">
      <c r="A220" s="16" t="n">
        <v>1145</v>
      </c>
      <c r="B220" s="16" t="inlineStr">
        <is>
          <t>Pagado</t>
        </is>
      </c>
      <c r="C220" s="16" t="n">
        <v>860002518</v>
      </c>
      <c r="D220" s="16" t="inlineStr">
        <is>
          <t>UNILEVER ANDINA COLOMBIA LTDA</t>
        </is>
      </c>
      <c r="E220" s="16" t="inlineStr">
        <is>
          <t>PMP1256437</t>
        </is>
      </c>
      <c r="F220" s="16" t="inlineStr">
        <is>
          <t>09/09/2025</t>
        </is>
      </c>
      <c r="G220" s="16" t="n">
        <v>1700019590</v>
      </c>
      <c r="H220" s="16" t="inlineStr">
        <is>
          <t>Nota</t>
        </is>
      </c>
      <c r="I220" s="16" t="inlineStr">
        <is>
          <t>02/09/2025</t>
        </is>
      </c>
      <c r="J220" s="16" t="n">
        <v>0</v>
      </c>
      <c r="K220" s="17" t="n">
        <v>1659797</v>
      </c>
      <c r="L220" s="16" t="inlineStr">
        <is>
          <t>Bucaramanga ZF</t>
        </is>
      </c>
      <c r="M220" s="16" t="inlineStr">
        <is>
          <t>UNILEVER ANDINA COLOMBIA LTDA DCTO 8% C/FIDENCIAL</t>
        </is>
      </c>
      <c r="N220" s="18">
        <f>+M220</f>
        <v/>
      </c>
      <c r="O220" s="18" t="inlineStr">
        <is>
          <t>Ventas</t>
        </is>
      </c>
    </row>
    <row r="221">
      <c r="A221" s="16" t="n">
        <v>1147</v>
      </c>
      <c r="B221" s="16" t="inlineStr">
        <is>
          <t>Pagado</t>
        </is>
      </c>
      <c r="C221" s="16" t="n">
        <v>860002518</v>
      </c>
      <c r="D221" s="16" t="inlineStr">
        <is>
          <t>UNILEVER ANDINA COLOMBIA LTDA</t>
        </is>
      </c>
      <c r="E221" s="16" t="inlineStr">
        <is>
          <t>PMP1256437</t>
        </is>
      </c>
      <c r="F221" s="16" t="inlineStr">
        <is>
          <t>02/09/2025</t>
        </is>
      </c>
      <c r="G221" s="16" t="n">
        <v>5100267309</v>
      </c>
      <c r="H221" s="16" t="inlineStr">
        <is>
          <t>Reduc Factura Compra</t>
        </is>
      </c>
      <c r="I221" s="16" t="inlineStr">
        <is>
          <t>27/06/2025</t>
        </is>
      </c>
      <c r="J221" s="16" t="n">
        <v>0</v>
      </c>
      <c r="K221" s="17" t="n">
        <v>16458858</v>
      </c>
      <c r="L221" s="16" t="inlineStr">
        <is>
          <t>Bucaramanga ZF</t>
        </is>
      </c>
      <c r="M221" s="16" t="inlineStr">
        <is>
          <t>UNILEVER ANDINA COLOMBIA LTDA/CONCILIACION</t>
        </is>
      </c>
      <c r="N221" s="18">
        <f>+H221&amp;" "&amp;E221</f>
        <v/>
      </c>
      <c r="O221" s="18" t="inlineStr">
        <is>
          <t>Ventas</t>
        </is>
      </c>
    </row>
    <row r="222">
      <c r="A222" s="16" t="n">
        <v>1151</v>
      </c>
      <c r="B222" s="16" t="inlineStr">
        <is>
          <t>Pagado</t>
        </is>
      </c>
      <c r="C222" s="16" t="n">
        <v>860002518</v>
      </c>
      <c r="D222" s="16" t="inlineStr">
        <is>
          <t>UNILEVER ANDINA COLOMBIA LTDA</t>
        </is>
      </c>
      <c r="E222" s="16" t="inlineStr">
        <is>
          <t>PMP1256437</t>
        </is>
      </c>
      <c r="F222" s="16" t="inlineStr">
        <is>
          <t>02/09/2025</t>
        </is>
      </c>
      <c r="G222" s="16" t="n">
        <v>5100267308</v>
      </c>
      <c r="H222" s="16" t="inlineStr">
        <is>
          <t>Factura Acrededor</t>
        </is>
      </c>
      <c r="I222" s="16" t="inlineStr">
        <is>
          <t>27/06/2025</t>
        </is>
      </c>
      <c r="J222" s="16" t="n">
        <v>0</v>
      </c>
      <c r="K222" s="17" t="n">
        <v>-41148338</v>
      </c>
      <c r="L222" s="16" t="inlineStr">
        <is>
          <t>Bucaramanga ZF</t>
        </is>
      </c>
      <c r="M222" s="16" t="inlineStr">
        <is>
          <t>UNILEVER ANDINA COLOMBIA LTDA/CONCILIACION</t>
        </is>
      </c>
      <c r="N222" s="18">
        <f>+H222&amp;" "&amp; E222</f>
        <v/>
      </c>
      <c r="O222" s="18" t="inlineStr">
        <is>
          <t>Cartera</t>
        </is>
      </c>
    </row>
    <row r="223">
      <c r="A223" s="16" t="n">
        <v>1275</v>
      </c>
      <c r="B223" s="16" t="inlineStr">
        <is>
          <t>Pagado</t>
        </is>
      </c>
      <c r="C223" s="16" t="n">
        <v>860002518</v>
      </c>
      <c r="D223" s="16" t="inlineStr">
        <is>
          <t>UNILEVER ANDINA COLOMBIA LTDA</t>
        </is>
      </c>
      <c r="E223" s="16" t="inlineStr">
        <is>
          <t>PMP1271665</t>
        </is>
      </c>
      <c r="F223" s="16" t="inlineStr">
        <is>
          <t>01/09/2025</t>
        </is>
      </c>
      <c r="G223" s="16" t="n">
        <v>5100309131</v>
      </c>
      <c r="H223" s="16" t="inlineStr">
        <is>
          <t>Reduc Factura Compra</t>
        </is>
      </c>
      <c r="I223" s="16" t="inlineStr">
        <is>
          <t>07/08/2025</t>
        </is>
      </c>
      <c r="J223" s="16" t="n">
        <v>0</v>
      </c>
      <c r="K223" s="17" t="n">
        <v>1164516</v>
      </c>
      <c r="L223" s="16" t="inlineStr">
        <is>
          <t>Bucaramanga ZF</t>
        </is>
      </c>
      <c r="M223" s="16" t="inlineStr">
        <is>
          <t>UNILEVER ANDINA COLOMBIA LTDA/CONCILIACION</t>
        </is>
      </c>
      <c r="N223" s="18">
        <f>+H223&amp;" "&amp;E223</f>
        <v/>
      </c>
      <c r="O223" s="18" t="inlineStr">
        <is>
          <t>Ventas</t>
        </is>
      </c>
    </row>
    <row r="224">
      <c r="A224" s="16" t="n">
        <v>1276</v>
      </c>
      <c r="B224" s="16" t="inlineStr">
        <is>
          <t>Pagado</t>
        </is>
      </c>
      <c r="C224" s="16" t="n">
        <v>860002518</v>
      </c>
      <c r="D224" s="16" t="inlineStr">
        <is>
          <t>UNILEVER ANDINA COLOMBIA LTDA</t>
        </is>
      </c>
      <c r="E224" s="16" t="inlineStr">
        <is>
          <t>PMP1271665</t>
        </is>
      </c>
      <c r="F224" s="16" t="inlineStr">
        <is>
          <t>01/09/2025</t>
        </is>
      </c>
      <c r="G224" s="16" t="n">
        <v>5100309130</v>
      </c>
      <c r="H224" s="16" t="inlineStr">
        <is>
          <t>Factura Acrededor</t>
        </is>
      </c>
      <c r="I224" s="16" t="inlineStr">
        <is>
          <t>07/08/2025</t>
        </is>
      </c>
      <c r="J224" s="16" t="n">
        <v>0</v>
      </c>
      <c r="K224" s="17" t="n">
        <v>-19764893</v>
      </c>
      <c r="L224" s="16" t="inlineStr">
        <is>
          <t>Bucaramanga ZF</t>
        </is>
      </c>
      <c r="M224" s="16" t="inlineStr">
        <is>
          <t>UNILEVER ANDINA COLOMBIA LTDA/CONCILIACION</t>
        </is>
      </c>
      <c r="N224" s="18">
        <f>+H224&amp;" "&amp; E224</f>
        <v/>
      </c>
      <c r="O224" s="18" t="inlineStr">
        <is>
          <t>Cartera</t>
        </is>
      </c>
    </row>
    <row r="225">
      <c r="A225" s="16" t="n">
        <v>1282</v>
      </c>
      <c r="B225" s="16" t="inlineStr">
        <is>
          <t>Pagado</t>
        </is>
      </c>
      <c r="C225" s="16" t="n">
        <v>860002518</v>
      </c>
      <c r="D225" s="16" t="inlineStr">
        <is>
          <t>UNILEVER ANDINA COLOMBIA LTDA</t>
        </is>
      </c>
      <c r="E225" s="16" t="inlineStr">
        <is>
          <t>PMP-1270676</t>
        </is>
      </c>
      <c r="F225" s="16" t="inlineStr">
        <is>
          <t>01/09/2025</t>
        </is>
      </c>
      <c r="G225" s="16" t="n">
        <v>5100309172</v>
      </c>
      <c r="H225" s="16" t="inlineStr">
        <is>
          <t>Factura Acrededor</t>
        </is>
      </c>
      <c r="I225" s="16" t="inlineStr">
        <is>
          <t>04/08/2025</t>
        </is>
      </c>
      <c r="J225" s="16" t="n">
        <v>0</v>
      </c>
      <c r="K225" s="17" t="n">
        <v>-9049701</v>
      </c>
      <c r="L225" s="16" t="inlineStr">
        <is>
          <t>Barranquilla</t>
        </is>
      </c>
      <c r="M225" s="16" t="inlineStr">
        <is>
          <t>UNILEVER ANDINA COLOMBIA LTDA</t>
        </is>
      </c>
      <c r="N225" s="18">
        <f>+H225&amp;" "&amp; E225</f>
        <v/>
      </c>
      <c r="O225" s="18" t="inlineStr">
        <is>
          <t>Cartera</t>
        </is>
      </c>
    </row>
    <row r="226">
      <c r="A226" s="16" t="n">
        <v>1283</v>
      </c>
      <c r="B226" s="16" t="inlineStr">
        <is>
          <t>Pagado</t>
        </is>
      </c>
      <c r="C226" s="16" t="n">
        <v>860002518</v>
      </c>
      <c r="D226" s="16" t="inlineStr">
        <is>
          <t>UNILEVER ANDINA COLOMBIA LTDA</t>
        </is>
      </c>
      <c r="E226" s="16" t="inlineStr">
        <is>
          <t>PMP-1270676</t>
        </is>
      </c>
      <c r="F226" s="16" t="inlineStr">
        <is>
          <t>01/09/2025</t>
        </is>
      </c>
      <c r="G226" s="16" t="n">
        <v>5100309173</v>
      </c>
      <c r="H226" s="16" t="inlineStr">
        <is>
          <t>Reduc Factura Compra</t>
        </is>
      </c>
      <c r="I226" s="16" t="inlineStr">
        <is>
          <t>04/08/2025</t>
        </is>
      </c>
      <c r="J226" s="16" t="n">
        <v>0</v>
      </c>
      <c r="K226" s="17" t="n">
        <v>255171</v>
      </c>
      <c r="L226" s="16" t="inlineStr">
        <is>
          <t>Barranquilla</t>
        </is>
      </c>
      <c r="M226" s="16" t="inlineStr">
        <is>
          <t>UNILEVER ANDINA COLOMBIA LTDA</t>
        </is>
      </c>
      <c r="N226" s="18">
        <f>+H226&amp;" "&amp;E226</f>
        <v/>
      </c>
      <c r="O226" s="18" t="inlineStr">
        <is>
          <t>Ventas</t>
        </is>
      </c>
    </row>
    <row r="227">
      <c r="A227" s="16" t="n">
        <v>1286</v>
      </c>
      <c r="B227" s="16" t="inlineStr">
        <is>
          <t>Pagado</t>
        </is>
      </c>
      <c r="C227" s="16" t="n">
        <v>860002518</v>
      </c>
      <c r="D227" s="16" t="inlineStr">
        <is>
          <t>UNILEVER ANDINA COLOMBIA LTDA</t>
        </is>
      </c>
      <c r="E227" s="16" t="inlineStr">
        <is>
          <t>PMP1273115</t>
        </is>
      </c>
      <c r="F227" s="16" t="inlineStr">
        <is>
          <t>03/09/2025</t>
        </is>
      </c>
      <c r="G227" s="16" t="n">
        <v>5100315864</v>
      </c>
      <c r="H227" s="16" t="inlineStr">
        <is>
          <t>Factura Acrededor</t>
        </is>
      </c>
      <c r="I227" s="16" t="inlineStr">
        <is>
          <t>12/08/2025</t>
        </is>
      </c>
      <c r="J227" s="16" t="n">
        <v>0</v>
      </c>
      <c r="K227" s="17" t="n">
        <v>-73027375</v>
      </c>
      <c r="M227" s="16" t="inlineStr">
        <is>
          <t>UNILEVER ANDINA COLOMBIA LTDA</t>
        </is>
      </c>
      <c r="N227" s="18">
        <f>+H227&amp;" "&amp; E227</f>
        <v/>
      </c>
      <c r="O227" s="18" t="inlineStr">
        <is>
          <t>Cartera</t>
        </is>
      </c>
    </row>
    <row r="228">
      <c r="A228" s="16" t="n">
        <v>1287</v>
      </c>
      <c r="B228" s="16" t="inlineStr">
        <is>
          <t>Pagado</t>
        </is>
      </c>
      <c r="C228" s="16" t="n">
        <v>860002518</v>
      </c>
      <c r="D228" s="16" t="inlineStr">
        <is>
          <t>UNILEVER ANDINA COLOMBIA LTDA</t>
        </is>
      </c>
      <c r="E228" s="16" t="inlineStr">
        <is>
          <t>PMP1273879</t>
        </is>
      </c>
      <c r="F228" s="16" t="inlineStr">
        <is>
          <t>03/09/2025</t>
        </is>
      </c>
      <c r="G228" s="16" t="n">
        <v>5100317146</v>
      </c>
      <c r="H228" s="16" t="inlineStr">
        <is>
          <t>Factura Acrededor</t>
        </is>
      </c>
      <c r="I228" s="16" t="inlineStr">
        <is>
          <t>13/08/2025</t>
        </is>
      </c>
      <c r="J228" s="16" t="n">
        <v>0</v>
      </c>
      <c r="K228" s="17" t="n">
        <v>-373927580</v>
      </c>
      <c r="L228" s="16" t="inlineStr">
        <is>
          <t>Cota</t>
        </is>
      </c>
      <c r="M228" s="16" t="inlineStr">
        <is>
          <t>UNILEVER ANDINA COLOMBIA LTDA/CONCILIACION</t>
        </is>
      </c>
      <c r="N228" s="18">
        <f>+H228&amp;" "&amp; E228</f>
        <v/>
      </c>
      <c r="O228" s="18" t="inlineStr">
        <is>
          <t>Cartera</t>
        </is>
      </c>
    </row>
    <row r="229">
      <c r="A229" s="16" t="n">
        <v>1288</v>
      </c>
      <c r="B229" s="16" t="inlineStr">
        <is>
          <t>Pagado</t>
        </is>
      </c>
      <c r="C229" s="16" t="n">
        <v>860002518</v>
      </c>
      <c r="D229" s="16" t="inlineStr">
        <is>
          <t>UNILEVER ANDINA COLOMBIA LTDA</t>
        </is>
      </c>
      <c r="E229" s="16" t="inlineStr">
        <is>
          <t>PMP1273879</t>
        </is>
      </c>
      <c r="F229" s="16" t="inlineStr">
        <is>
          <t>03/09/2025</t>
        </is>
      </c>
      <c r="G229" s="16" t="n">
        <v>5100317147</v>
      </c>
      <c r="H229" s="16" t="inlineStr">
        <is>
          <t>Reduc Factura Compra</t>
        </is>
      </c>
      <c r="I229" s="16" t="inlineStr">
        <is>
          <t>13/08/2025</t>
        </is>
      </c>
      <c r="J229" s="16" t="n">
        <v>0</v>
      </c>
      <c r="K229" s="17" t="n">
        <v>365312</v>
      </c>
      <c r="L229" s="16" t="inlineStr">
        <is>
          <t>Cota</t>
        </is>
      </c>
      <c r="M229" s="16" t="inlineStr">
        <is>
          <t>UNILEVER ANDINA COLOMBIA LTDA/CONCILIACION</t>
        </is>
      </c>
      <c r="N229" s="18">
        <f>+H229&amp;" "&amp;E229</f>
        <v/>
      </c>
      <c r="O229" s="18" t="inlineStr">
        <is>
          <t>Ventas</t>
        </is>
      </c>
    </row>
    <row r="230">
      <c r="A230" s="16" t="n">
        <v>1290</v>
      </c>
      <c r="B230" s="16" t="inlineStr">
        <is>
          <t>Pagado</t>
        </is>
      </c>
      <c r="C230" s="16" t="n">
        <v>860002518</v>
      </c>
      <c r="D230" s="16" t="inlineStr">
        <is>
          <t>UNILEVER ANDINA COLOMBIA LTDA</t>
        </is>
      </c>
      <c r="E230" s="16" t="inlineStr">
        <is>
          <t>PMP1273594</t>
        </is>
      </c>
      <c r="F230" s="16" t="inlineStr">
        <is>
          <t>04/09/2025</t>
        </is>
      </c>
      <c r="G230" s="16" t="n">
        <v>5100318681</v>
      </c>
      <c r="H230" s="16" t="inlineStr">
        <is>
          <t>Factura Acrededor</t>
        </is>
      </c>
      <c r="I230" s="16" t="inlineStr">
        <is>
          <t>13/08/2025</t>
        </is>
      </c>
      <c r="J230" s="16" t="n">
        <v>0</v>
      </c>
      <c r="K230" s="17" t="n">
        <v>-96946690</v>
      </c>
      <c r="L230" s="16" t="inlineStr">
        <is>
          <t>Palmira</t>
        </is>
      </c>
      <c r="M230" s="16" t="inlineStr">
        <is>
          <t>UNILEVER ANDINA COLOMBIA LTDA</t>
        </is>
      </c>
      <c r="N230" s="18">
        <f>+H230&amp;" "&amp; E230</f>
        <v/>
      </c>
      <c r="O230" s="18" t="inlineStr">
        <is>
          <t>Cartera</t>
        </is>
      </c>
    </row>
    <row r="231">
      <c r="A231" s="16" t="n">
        <v>1291</v>
      </c>
      <c r="B231" s="16" t="inlineStr">
        <is>
          <t>Pagado</t>
        </is>
      </c>
      <c r="C231" s="16" t="n">
        <v>860002518</v>
      </c>
      <c r="D231" s="16" t="inlineStr">
        <is>
          <t>UNILEVER ANDINA COLOMBIA LTDA</t>
        </is>
      </c>
      <c r="E231" s="16" t="inlineStr">
        <is>
          <t>PMP1273864</t>
        </is>
      </c>
      <c r="F231" s="16" t="inlineStr">
        <is>
          <t>05/09/2025</t>
        </is>
      </c>
      <c r="G231" s="16" t="n">
        <v>5100318794</v>
      </c>
      <c r="H231" s="16" t="inlineStr">
        <is>
          <t>Factura Acrededor</t>
        </is>
      </c>
      <c r="I231" s="16" t="inlineStr">
        <is>
          <t>13/08/2025</t>
        </is>
      </c>
      <c r="J231" s="16" t="n">
        <v>0</v>
      </c>
      <c r="K231" s="17" t="n">
        <v>-41410343</v>
      </c>
      <c r="L231" s="16" t="inlineStr">
        <is>
          <t>Cerritos</t>
        </is>
      </c>
      <c r="N231" s="18">
        <f>+H231&amp;" "&amp; E231</f>
        <v/>
      </c>
      <c r="O231" s="18" t="inlineStr">
        <is>
          <t>Cartera</t>
        </is>
      </c>
    </row>
    <row r="232">
      <c r="A232" s="16" t="n">
        <v>1292</v>
      </c>
      <c r="B232" s="16" t="inlineStr">
        <is>
          <t>Pagado</t>
        </is>
      </c>
      <c r="C232" s="16" t="n">
        <v>860002518</v>
      </c>
      <c r="D232" s="16" t="inlineStr">
        <is>
          <t>UNILEVER ANDINA COLOMBIA LTDA</t>
        </is>
      </c>
      <c r="E232" s="16" t="inlineStr">
        <is>
          <t>PMP1274135</t>
        </is>
      </c>
      <c r="F232" s="16" t="inlineStr">
        <is>
          <t>08/09/2025</t>
        </is>
      </c>
      <c r="G232" s="16" t="n">
        <v>5100321204</v>
      </c>
      <c r="H232" s="16" t="inlineStr">
        <is>
          <t>Factura Acrededor</t>
        </is>
      </c>
      <c r="I232" s="16" t="inlineStr">
        <is>
          <t>11/08/2025</t>
        </is>
      </c>
      <c r="J232" s="16" t="n">
        <v>0</v>
      </c>
      <c r="K232" s="17" t="n">
        <v>-38485985</v>
      </c>
      <c r="L232" s="16" t="inlineStr">
        <is>
          <t>Bucaramanga ZF</t>
        </is>
      </c>
      <c r="M232" s="16" t="inlineStr">
        <is>
          <t>UNILEVER ANDINA COLOMBIA LTDA</t>
        </is>
      </c>
      <c r="N232" s="18">
        <f>+H232&amp;" "&amp; E232</f>
        <v/>
      </c>
      <c r="O232" s="18" t="inlineStr">
        <is>
          <t>Cartera</t>
        </is>
      </c>
    </row>
    <row r="233">
      <c r="A233" s="16" t="n">
        <v>1293</v>
      </c>
      <c r="B233" s="16" t="inlineStr">
        <is>
          <t>Pagado</t>
        </is>
      </c>
      <c r="C233" s="16" t="n">
        <v>860002518</v>
      </c>
      <c r="D233" s="16" t="inlineStr">
        <is>
          <t>UNILEVER ANDINA COLOMBIA LTDA</t>
        </is>
      </c>
      <c r="E233" s="16" t="inlineStr">
        <is>
          <t>PMP1273388</t>
        </is>
      </c>
      <c r="F233" s="16" t="inlineStr">
        <is>
          <t>08/09/2025</t>
        </is>
      </c>
      <c r="G233" s="16" t="n">
        <v>5100320752</v>
      </c>
      <c r="H233" s="16" t="inlineStr">
        <is>
          <t>Reduc Factura Compra</t>
        </is>
      </c>
      <c r="I233" s="16" t="inlineStr">
        <is>
          <t>11/08/2025</t>
        </is>
      </c>
      <c r="J233" s="16" t="n">
        <v>0</v>
      </c>
      <c r="K233" s="17" t="n">
        <v>182351</v>
      </c>
      <c r="L233" s="16" t="inlineStr">
        <is>
          <t>Barranquilla</t>
        </is>
      </c>
      <c r="M233" s="16" t="inlineStr">
        <is>
          <t>UNILEVER ANDINA COLOMBIA LTDA</t>
        </is>
      </c>
      <c r="N233" s="18">
        <f>+H233&amp;" "&amp;E233</f>
        <v/>
      </c>
      <c r="O233" s="18" t="inlineStr">
        <is>
          <t>Ventas</t>
        </is>
      </c>
    </row>
    <row r="234">
      <c r="A234" s="16" t="n">
        <v>1295</v>
      </c>
      <c r="B234" s="16" t="inlineStr">
        <is>
          <t>Pagado</t>
        </is>
      </c>
      <c r="C234" s="16" t="n">
        <v>860002518</v>
      </c>
      <c r="D234" s="16" t="inlineStr">
        <is>
          <t>UNILEVER ANDINA COLOMBIA LTDA</t>
        </is>
      </c>
      <c r="E234" s="16" t="inlineStr">
        <is>
          <t>PMP1273388</t>
        </is>
      </c>
      <c r="F234" s="16" t="inlineStr">
        <is>
          <t>08/09/2025</t>
        </is>
      </c>
      <c r="G234" s="16" t="n">
        <v>5100320751</v>
      </c>
      <c r="H234" s="16" t="inlineStr">
        <is>
          <t>Factura Acrededor</t>
        </is>
      </c>
      <c r="I234" s="16" t="inlineStr">
        <is>
          <t>11/08/2025</t>
        </is>
      </c>
      <c r="J234" s="16" t="n">
        <v>0</v>
      </c>
      <c r="K234" s="17" t="n">
        <v>-32787000</v>
      </c>
      <c r="L234" s="16" t="inlineStr">
        <is>
          <t>Barranquilla</t>
        </is>
      </c>
      <c r="M234" s="16" t="inlineStr">
        <is>
          <t>UNILEVER ANDINA COLOMBIA LTDA</t>
        </is>
      </c>
      <c r="N234" s="18">
        <f>+H234&amp;" "&amp; E234</f>
        <v/>
      </c>
      <c r="O234" s="18" t="inlineStr">
        <is>
          <t>Cartera</t>
        </is>
      </c>
    </row>
    <row r="235">
      <c r="A235" s="16" t="n">
        <v>1300</v>
      </c>
      <c r="B235" s="16" t="inlineStr">
        <is>
          <t>Pagado</t>
        </is>
      </c>
      <c r="C235" s="16" t="n">
        <v>860002518</v>
      </c>
      <c r="D235" s="16" t="inlineStr">
        <is>
          <t>UNILEVER ANDINA COLOMBIA LTDA</t>
        </is>
      </c>
      <c r="E235" s="16" t="inlineStr">
        <is>
          <t>PMP1277209</t>
        </is>
      </c>
      <c r="F235" s="16" t="inlineStr">
        <is>
          <t>11/09/2025</t>
        </is>
      </c>
      <c r="G235" s="16" t="n">
        <v>5100330751</v>
      </c>
      <c r="H235" s="16" t="inlineStr">
        <is>
          <t>Factura Acrededor</t>
        </is>
      </c>
      <c r="I235" s="16" t="inlineStr">
        <is>
          <t>22/08/2025</t>
        </is>
      </c>
      <c r="J235" s="16" t="n">
        <v>0</v>
      </c>
      <c r="K235" s="17" t="n">
        <v>-40413563</v>
      </c>
      <c r="L235" s="16" t="inlineStr">
        <is>
          <t>Palmira</t>
        </is>
      </c>
      <c r="M235" s="16" t="inlineStr">
        <is>
          <t>UNILEVER ANDINA COLOMBIA LTDA</t>
        </is>
      </c>
      <c r="N235" s="18">
        <f>+H235&amp;" "&amp; E235</f>
        <v/>
      </c>
      <c r="O235" s="18" t="inlineStr">
        <is>
          <t>Cartera</t>
        </is>
      </c>
    </row>
    <row r="236">
      <c r="A236" s="16" t="n">
        <v>1303</v>
      </c>
      <c r="B236" s="16" t="inlineStr">
        <is>
          <t>Pagado</t>
        </is>
      </c>
      <c r="C236" s="16" t="n">
        <v>860002518</v>
      </c>
      <c r="D236" s="16" t="inlineStr">
        <is>
          <t>UNILEVER ANDINA COLOMBIA LTDA</t>
        </is>
      </c>
      <c r="E236" s="16" t="inlineStr">
        <is>
          <t>PMP1276669</t>
        </is>
      </c>
      <c r="F236" s="16" t="inlineStr">
        <is>
          <t>12/09/2025</t>
        </is>
      </c>
      <c r="G236" s="16" t="n">
        <v>5100335924</v>
      </c>
      <c r="H236" s="16" t="inlineStr">
        <is>
          <t>Factura Acrededor</t>
        </is>
      </c>
      <c r="I236" s="16" t="inlineStr">
        <is>
          <t>20/08/2025</t>
        </is>
      </c>
      <c r="J236" s="16" t="n">
        <v>0</v>
      </c>
      <c r="K236" s="17" t="n">
        <v>-18919275</v>
      </c>
      <c r="L236" s="16" t="inlineStr">
        <is>
          <t>Cerritos</t>
        </is>
      </c>
      <c r="N236" s="18">
        <f>+H236&amp;" "&amp; E236</f>
        <v/>
      </c>
      <c r="O236" s="18" t="inlineStr">
        <is>
          <t>Cartera</t>
        </is>
      </c>
    </row>
    <row r="237">
      <c r="A237" s="16" t="n">
        <v>1305</v>
      </c>
      <c r="B237" s="16" t="inlineStr">
        <is>
          <t>Pagado</t>
        </is>
      </c>
      <c r="C237" s="16" t="n">
        <v>860002518</v>
      </c>
      <c r="D237" s="16" t="inlineStr">
        <is>
          <t>UNILEVER ANDINA COLOMBIA LTDA</t>
        </is>
      </c>
      <c r="E237" s="16" t="inlineStr">
        <is>
          <t>PMP1277138</t>
        </is>
      </c>
      <c r="F237" s="16" t="inlineStr">
        <is>
          <t>12/09/2025</t>
        </is>
      </c>
      <c r="G237" s="16" t="n">
        <v>5100337140</v>
      </c>
      <c r="H237" s="16" t="inlineStr">
        <is>
          <t>Factura Acrededor</t>
        </is>
      </c>
      <c r="I237" s="16" t="inlineStr">
        <is>
          <t>21/08/2025</t>
        </is>
      </c>
      <c r="J237" s="16" t="n">
        <v>0</v>
      </c>
      <c r="K237" s="17" t="n">
        <v>-25908600</v>
      </c>
      <c r="L237" s="16" t="inlineStr">
        <is>
          <t>Cota</t>
        </is>
      </c>
      <c r="M237" s="16" t="inlineStr">
        <is>
          <t>UNILEVER ANDINA COLOMBIA LTDA</t>
        </is>
      </c>
      <c r="N237" s="18">
        <f>+H237&amp;" "&amp; E237</f>
        <v/>
      </c>
      <c r="O237" s="18" t="inlineStr">
        <is>
          <t>Cartera</t>
        </is>
      </c>
    </row>
    <row r="238">
      <c r="A238" s="16" t="n">
        <v>1306</v>
      </c>
      <c r="B238" s="16" t="inlineStr">
        <is>
          <t>Pagado</t>
        </is>
      </c>
      <c r="C238" s="16" t="n">
        <v>860002518</v>
      </c>
      <c r="D238" s="16" t="inlineStr">
        <is>
          <t>UNILEVER ANDINA COLOMBIA LTDA</t>
        </is>
      </c>
      <c r="E238" s="16" t="inlineStr">
        <is>
          <t>PMP1276993</t>
        </is>
      </c>
      <c r="F238" s="16" t="inlineStr">
        <is>
          <t>12/09/2025</t>
        </is>
      </c>
      <c r="G238" s="16" t="n">
        <v>5100337104</v>
      </c>
      <c r="H238" s="16" t="inlineStr">
        <is>
          <t>Factura Acrededor</t>
        </is>
      </c>
      <c r="I238" s="16" t="inlineStr">
        <is>
          <t>21/08/2025</t>
        </is>
      </c>
      <c r="J238" s="16" t="n">
        <v>0</v>
      </c>
      <c r="K238" s="17" t="n">
        <v>-24310076</v>
      </c>
      <c r="M238" s="16" t="inlineStr">
        <is>
          <t>UNILEVER ANDINA COLOMBIA LTDA</t>
        </is>
      </c>
      <c r="N238" s="18">
        <f>+H238&amp;" "&amp; E238</f>
        <v/>
      </c>
      <c r="O238" s="18" t="inlineStr">
        <is>
          <t>Cartera</t>
        </is>
      </c>
    </row>
    <row r="239">
      <c r="A239" s="16" t="n">
        <v>1311</v>
      </c>
      <c r="B239" s="16" t="inlineStr">
        <is>
          <t>Pagado</t>
        </is>
      </c>
      <c r="C239" s="16" t="n">
        <v>860002518</v>
      </c>
      <c r="D239" s="16" t="inlineStr">
        <is>
          <t>UNILEVER ANDINA COLOMBIA LTDA</t>
        </is>
      </c>
      <c r="E239" s="16" t="inlineStr">
        <is>
          <t>PMP1276959</t>
        </is>
      </c>
      <c r="F239" s="16" t="inlineStr">
        <is>
          <t>16/09/2025</t>
        </is>
      </c>
      <c r="G239" s="16" t="n">
        <v>5100339573</v>
      </c>
      <c r="H239" s="16" t="inlineStr">
        <is>
          <t>Factura Acrededor</t>
        </is>
      </c>
      <c r="I239" s="16" t="inlineStr">
        <is>
          <t>21/08/2025</t>
        </is>
      </c>
      <c r="J239" s="16" t="n">
        <v>0</v>
      </c>
      <c r="K239" s="17" t="n">
        <v>-8759113</v>
      </c>
      <c r="L239" s="16" t="inlineStr">
        <is>
          <t>Bucaramanga ZF</t>
        </is>
      </c>
      <c r="M239" s="16" t="inlineStr">
        <is>
          <t>UNILEVER ANDINA COLOMBIA LTDA</t>
        </is>
      </c>
      <c r="N239" s="18">
        <f>+H239&amp;" "&amp; E239</f>
        <v/>
      </c>
      <c r="O239" s="18" t="inlineStr">
        <is>
          <t>Cartera</t>
        </is>
      </c>
    </row>
    <row r="240">
      <c r="A240" s="16" t="n">
        <v>1314</v>
      </c>
      <c r="B240" s="16" t="inlineStr">
        <is>
          <t>Pagado</t>
        </is>
      </c>
      <c r="C240" s="16" t="n">
        <v>860002518</v>
      </c>
      <c r="D240" s="16" t="inlineStr">
        <is>
          <t>UNILEVER ANDINA COLOMBIA LTDA</t>
        </is>
      </c>
      <c r="E240" s="16" t="inlineStr">
        <is>
          <t>PMP1277189</t>
        </is>
      </c>
      <c r="F240" s="16" t="inlineStr">
        <is>
          <t>17/09/2025</t>
        </is>
      </c>
      <c r="G240" s="16" t="n">
        <v>5100342112</v>
      </c>
      <c r="H240" s="16" t="inlineStr">
        <is>
          <t>Factura Acrededor</t>
        </is>
      </c>
      <c r="I240" s="16" t="inlineStr">
        <is>
          <t>22/08/2025</t>
        </is>
      </c>
      <c r="J240" s="16" t="n">
        <v>0</v>
      </c>
      <c r="K240" s="17" t="n">
        <v>-1700668</v>
      </c>
      <c r="L240" s="16" t="inlineStr">
        <is>
          <t>Barranquilla</t>
        </is>
      </c>
      <c r="M240" s="16" t="inlineStr">
        <is>
          <t>UNILEVER ANDINA COLOMBIA LTDA</t>
        </is>
      </c>
      <c r="N240" s="18">
        <f>+H240&amp;" "&amp; E240</f>
        <v/>
      </c>
      <c r="O240" s="18" t="inlineStr">
        <is>
          <t>Cartera</t>
        </is>
      </c>
    </row>
    <row r="241">
      <c r="A241" s="16" t="n">
        <v>1315</v>
      </c>
      <c r="B241" s="16" t="inlineStr">
        <is>
          <t>Pagado</t>
        </is>
      </c>
      <c r="C241" s="16" t="n">
        <v>860002518</v>
      </c>
      <c r="D241" s="16" t="inlineStr">
        <is>
          <t>UNILEVER ANDINA COLOMBIA LTDA</t>
        </is>
      </c>
      <c r="E241" s="16" t="inlineStr">
        <is>
          <t>PMP1279355</t>
        </is>
      </c>
      <c r="F241" s="16" t="inlineStr">
        <is>
          <t>17/09/2025</t>
        </is>
      </c>
      <c r="G241" s="16" t="n">
        <v>5100341360</v>
      </c>
      <c r="H241" s="16" t="inlineStr">
        <is>
          <t>Reduc Factura Compra</t>
        </is>
      </c>
      <c r="I241" s="16" t="inlineStr">
        <is>
          <t>26/08/2025</t>
        </is>
      </c>
      <c r="J241" s="16" t="n">
        <v>0</v>
      </c>
      <c r="K241" s="17" t="n">
        <v>1071719</v>
      </c>
      <c r="M241" s="16" t="inlineStr">
        <is>
          <t>UNILEVER ANDINA COLOMBIA LTDA/CONCILIAICION</t>
        </is>
      </c>
      <c r="N241" s="18">
        <f>+H241&amp;" "&amp;E241</f>
        <v/>
      </c>
      <c r="O241" s="18" t="inlineStr">
        <is>
          <t>Ventas</t>
        </is>
      </c>
    </row>
    <row r="242">
      <c r="A242" s="16" t="n">
        <v>1316</v>
      </c>
      <c r="B242" s="16" t="inlineStr">
        <is>
          <t>Pagado</t>
        </is>
      </c>
      <c r="C242" s="16" t="n">
        <v>860002518</v>
      </c>
      <c r="D242" s="16" t="inlineStr">
        <is>
          <t>UNILEVER ANDINA COLOMBIA LTDA</t>
        </is>
      </c>
      <c r="E242" s="16" t="inlineStr">
        <is>
          <t>PMP1279355</t>
        </is>
      </c>
      <c r="F242" s="16" t="inlineStr">
        <is>
          <t>17/09/2025</t>
        </is>
      </c>
      <c r="G242" s="16" t="n">
        <v>5100341359</v>
      </c>
      <c r="H242" s="16" t="inlineStr">
        <is>
          <t>Factura Acrededor</t>
        </is>
      </c>
      <c r="I242" s="16" t="inlineStr">
        <is>
          <t>26/08/2025</t>
        </is>
      </c>
      <c r="J242" s="16" t="n">
        <v>0</v>
      </c>
      <c r="K242" s="17" t="n">
        <v>-179751572</v>
      </c>
      <c r="M242" s="16" t="inlineStr">
        <is>
          <t>UNILEVER ANDINA COLOMBIA LTDA/CONCILIAICION</t>
        </is>
      </c>
      <c r="N242" s="18">
        <f>+H242&amp;" "&amp; E242</f>
        <v/>
      </c>
      <c r="O242" s="18" t="inlineStr">
        <is>
          <t>Cartera</t>
        </is>
      </c>
    </row>
    <row r="243">
      <c r="A243" s="16" t="n">
        <v>1317</v>
      </c>
      <c r="B243" s="16" t="inlineStr">
        <is>
          <t>Pagado</t>
        </is>
      </c>
      <c r="C243" s="16" t="n">
        <v>860002518</v>
      </c>
      <c r="D243" s="16" t="inlineStr">
        <is>
          <t>UNILEVER ANDINA COLOMBIA LTDA</t>
        </is>
      </c>
      <c r="E243" s="16" t="inlineStr">
        <is>
          <t>PMP1279353</t>
        </is>
      </c>
      <c r="F243" s="16" t="inlineStr">
        <is>
          <t>17/09/2025</t>
        </is>
      </c>
      <c r="G243" s="16" t="n">
        <v>5100340608</v>
      </c>
      <c r="H243" s="16" t="inlineStr">
        <is>
          <t>Factura Acrededor</t>
        </is>
      </c>
      <c r="I243" s="16" t="inlineStr">
        <is>
          <t>26/08/2025</t>
        </is>
      </c>
      <c r="J243" s="16" t="n">
        <v>0</v>
      </c>
      <c r="K243" s="17" t="n">
        <v>-1641553</v>
      </c>
      <c r="M243" s="16" t="inlineStr">
        <is>
          <t>UNILEVER ANDINA COLOMBIA LTDA</t>
        </is>
      </c>
      <c r="N243" s="18">
        <f>+H243&amp;" "&amp; E243</f>
        <v/>
      </c>
      <c r="O243" s="18" t="inlineStr">
        <is>
          <t>Cartera</t>
        </is>
      </c>
    </row>
    <row r="244">
      <c r="A244" s="16" t="n">
        <v>1319</v>
      </c>
      <c r="B244" s="16" t="inlineStr">
        <is>
          <t>Pagado</t>
        </is>
      </c>
      <c r="C244" s="16" t="n">
        <v>860002518</v>
      </c>
      <c r="D244" s="16" t="inlineStr">
        <is>
          <t>UNILEVER ANDINA COLOMBIA LTDA</t>
        </is>
      </c>
      <c r="E244" s="16" t="inlineStr">
        <is>
          <t>PMP1280350</t>
        </is>
      </c>
      <c r="F244" s="16" t="inlineStr">
        <is>
          <t>17/09/2025</t>
        </is>
      </c>
      <c r="G244" s="16" t="n">
        <v>5100343137</v>
      </c>
      <c r="H244" s="16" t="inlineStr">
        <is>
          <t>Reduc Factura Compra</t>
        </is>
      </c>
      <c r="I244" s="16" t="inlineStr">
        <is>
          <t>27/08/2025</t>
        </is>
      </c>
      <c r="J244" s="16" t="n">
        <v>0</v>
      </c>
      <c r="K244" s="17" t="n">
        <v>3451912</v>
      </c>
      <c r="L244" s="16" t="inlineStr">
        <is>
          <t>Cota</t>
        </is>
      </c>
      <c r="M244" s="16" t="inlineStr">
        <is>
          <t>UNILEVER ANDINA COLOMBIA LTDA // CONCILIACIÓN</t>
        </is>
      </c>
      <c r="N244" s="18">
        <f>+H244&amp;" "&amp;E244</f>
        <v/>
      </c>
      <c r="O244" s="18" t="inlineStr">
        <is>
          <t>Ventas</t>
        </is>
      </c>
    </row>
    <row r="245">
      <c r="A245" s="16" t="n">
        <v>1320</v>
      </c>
      <c r="B245" s="16" t="inlineStr">
        <is>
          <t>Pagado</t>
        </is>
      </c>
      <c r="C245" s="16" t="n">
        <v>860002518</v>
      </c>
      <c r="D245" s="16" t="inlineStr">
        <is>
          <t>UNILEVER ANDINA COLOMBIA LTDA</t>
        </is>
      </c>
      <c r="E245" s="16" t="inlineStr">
        <is>
          <t>PMP1280350</t>
        </is>
      </c>
      <c r="F245" s="16" t="inlineStr">
        <is>
          <t>17/09/2025</t>
        </is>
      </c>
      <c r="G245" s="16" t="n">
        <v>5100343136</v>
      </c>
      <c r="H245" s="16" t="inlineStr">
        <is>
          <t>Factura Acrededor</t>
        </is>
      </c>
      <c r="I245" s="16" t="inlineStr">
        <is>
          <t>27/08/2025</t>
        </is>
      </c>
      <c r="J245" s="16" t="n">
        <v>0</v>
      </c>
      <c r="K245" s="17" t="n">
        <v>-414714402</v>
      </c>
      <c r="L245" s="16" t="inlineStr">
        <is>
          <t>Cota</t>
        </is>
      </c>
      <c r="M245" s="16" t="inlineStr">
        <is>
          <t>UNILEVER ANDINA COLOMBIA LTDA // CONCILIACIÓN</t>
        </is>
      </c>
      <c r="N245" s="18">
        <f>+H245&amp;" "&amp; E245</f>
        <v/>
      </c>
      <c r="O245" s="18" t="inlineStr">
        <is>
          <t>Cartera</t>
        </is>
      </c>
    </row>
    <row r="246">
      <c r="A246" s="16" t="n">
        <v>1321</v>
      </c>
      <c r="B246" s="16" t="inlineStr">
        <is>
          <t>Pagado</t>
        </is>
      </c>
      <c r="C246" s="16" t="n">
        <v>860002518</v>
      </c>
      <c r="D246" s="16" t="inlineStr">
        <is>
          <t>UNILEVER ANDINA COLOMBIA LTDA</t>
        </is>
      </c>
      <c r="E246" s="16" t="n">
        <v>5009060498</v>
      </c>
      <c r="F246" s="16" t="inlineStr">
        <is>
          <t>03/09/2025</t>
        </is>
      </c>
      <c r="G246" s="16" t="n">
        <v>5100346789</v>
      </c>
      <c r="H246" s="16" t="inlineStr">
        <is>
          <t>Devolucion</t>
        </is>
      </c>
      <c r="I246" s="16" t="inlineStr">
        <is>
          <t>01/09/2025</t>
        </is>
      </c>
      <c r="J246" s="16" t="n">
        <v>0</v>
      </c>
      <c r="K246" s="17" t="n">
        <v>312407</v>
      </c>
      <c r="L246" s="16" t="inlineStr">
        <is>
          <t>Cota</t>
        </is>
      </c>
      <c r="N246" s="18">
        <f>_xlfn.CONCAT(H246 &amp;" "&amp; E246)</f>
        <v/>
      </c>
      <c r="O246" s="18" t="inlineStr">
        <is>
          <t>AVERIAS</t>
        </is>
      </c>
    </row>
    <row r="247">
      <c r="A247" s="16" t="n">
        <v>1322</v>
      </c>
      <c r="B247" s="16" t="inlineStr">
        <is>
          <t>Pagado</t>
        </is>
      </c>
      <c r="C247" s="16" t="n">
        <v>860002518</v>
      </c>
      <c r="D247" s="16" t="inlineStr">
        <is>
          <t>UNILEVER ANDINA COLOMBIA LTDA</t>
        </is>
      </c>
      <c r="E247" s="16" t="n">
        <v>5009063202</v>
      </c>
      <c r="F247" s="16" t="inlineStr">
        <is>
          <t>03/09/2025</t>
        </is>
      </c>
      <c r="G247" s="16" t="n">
        <v>5100347221</v>
      </c>
      <c r="H247" s="16" t="inlineStr">
        <is>
          <t>Devolucion</t>
        </is>
      </c>
      <c r="I247" s="16" t="inlineStr">
        <is>
          <t>01/09/2025</t>
        </is>
      </c>
      <c r="J247" s="16" t="n">
        <v>0</v>
      </c>
      <c r="K247" s="17" t="n">
        <v>19202</v>
      </c>
      <c r="L247" s="16" t="inlineStr">
        <is>
          <t>Cota</t>
        </is>
      </c>
      <c r="N247" s="18">
        <f>_xlfn.CONCAT(H247 &amp;" "&amp; E247)</f>
        <v/>
      </c>
      <c r="O247" s="18" t="inlineStr">
        <is>
          <t>AVERIAS</t>
        </is>
      </c>
    </row>
    <row r="248">
      <c r="A248" s="16" t="n">
        <v>1323</v>
      </c>
      <c r="B248" s="16" t="inlineStr">
        <is>
          <t>Pagado</t>
        </is>
      </c>
      <c r="C248" s="16" t="n">
        <v>860002518</v>
      </c>
      <c r="D248" s="16" t="inlineStr">
        <is>
          <t>UNILEVER ANDINA COLOMBIA LTDA</t>
        </is>
      </c>
      <c r="E248" s="16" t="n">
        <v>5009065494</v>
      </c>
      <c r="F248" s="16" t="inlineStr">
        <is>
          <t>03/09/2025</t>
        </is>
      </c>
      <c r="G248" s="16" t="n">
        <v>5100348033</v>
      </c>
      <c r="H248" s="16" t="inlineStr">
        <is>
          <t>Devolucion</t>
        </is>
      </c>
      <c r="I248" s="16" t="inlineStr">
        <is>
          <t>02/09/2025</t>
        </is>
      </c>
      <c r="J248" s="16" t="n">
        <v>0</v>
      </c>
      <c r="K248" s="17" t="n">
        <v>34192</v>
      </c>
      <c r="L248" s="16" t="inlineStr">
        <is>
          <t>Palmira</t>
        </is>
      </c>
      <c r="N248" s="18">
        <f>_xlfn.CONCAT(H248 &amp;" "&amp; E248)</f>
        <v/>
      </c>
      <c r="O248" s="18" t="inlineStr">
        <is>
          <t>AVERIAS</t>
        </is>
      </c>
    </row>
    <row r="249">
      <c r="A249" s="16" t="n">
        <v>1324</v>
      </c>
      <c r="B249" s="16" t="inlineStr">
        <is>
          <t>Pagado</t>
        </is>
      </c>
      <c r="C249" s="16" t="n">
        <v>860002518</v>
      </c>
      <c r="D249" s="16" t="inlineStr">
        <is>
          <t>UNILEVER ANDINA COLOMBIA LTDA</t>
        </is>
      </c>
      <c r="E249" s="16" t="n">
        <v>5009067455</v>
      </c>
      <c r="F249" s="16" t="inlineStr">
        <is>
          <t>03/09/2025</t>
        </is>
      </c>
      <c r="G249" s="16" t="n">
        <v>5100348331</v>
      </c>
      <c r="H249" s="16" t="inlineStr">
        <is>
          <t>Devolucion</t>
        </is>
      </c>
      <c r="I249" s="16" t="inlineStr">
        <is>
          <t>02/09/2025</t>
        </is>
      </c>
      <c r="J249" s="16" t="n">
        <v>0</v>
      </c>
      <c r="K249" s="17" t="n">
        <v>19202</v>
      </c>
      <c r="L249" s="16" t="inlineStr">
        <is>
          <t>Cota</t>
        </is>
      </c>
      <c r="N249" s="18">
        <f>_xlfn.CONCAT(H249 &amp;" "&amp; E249)</f>
        <v/>
      </c>
      <c r="O249" s="18" t="inlineStr">
        <is>
          <t>AVERIAS</t>
        </is>
      </c>
    </row>
    <row r="250">
      <c r="A250" s="16" t="n">
        <v>1325</v>
      </c>
      <c r="B250" s="16" t="inlineStr">
        <is>
          <t>Pagado</t>
        </is>
      </c>
      <c r="C250" s="16" t="n">
        <v>860002518</v>
      </c>
      <c r="D250" s="16" t="inlineStr">
        <is>
          <t>UNILEVER ANDINA COLOMBIA LTDA</t>
        </is>
      </c>
      <c r="E250" s="16" t="n">
        <v>5009069428</v>
      </c>
      <c r="F250" s="16" t="inlineStr">
        <is>
          <t>03/09/2025</t>
        </is>
      </c>
      <c r="G250" s="16" t="n">
        <v>5100348731</v>
      </c>
      <c r="H250" s="16" t="inlineStr">
        <is>
          <t>Devolucion</t>
        </is>
      </c>
      <c r="I250" s="16" t="inlineStr">
        <is>
          <t>02/09/2025</t>
        </is>
      </c>
      <c r="J250" s="16" t="n">
        <v>0</v>
      </c>
      <c r="K250" s="17" t="n">
        <v>48414</v>
      </c>
      <c r="L250" s="16" t="inlineStr">
        <is>
          <t>Barranquilla</t>
        </is>
      </c>
      <c r="N250" s="18">
        <f>_xlfn.CONCAT(H250 &amp;" "&amp; E250)</f>
        <v/>
      </c>
      <c r="O250" s="18" t="inlineStr">
        <is>
          <t>AVERIAS</t>
        </is>
      </c>
    </row>
    <row r="251">
      <c r="A251" s="16" t="n">
        <v>1326</v>
      </c>
      <c r="B251" s="16" t="inlineStr">
        <is>
          <t>Pagado</t>
        </is>
      </c>
      <c r="C251" s="16" t="n">
        <v>860002518</v>
      </c>
      <c r="D251" s="16" t="inlineStr">
        <is>
          <t>UNILEVER ANDINA COLOMBIA LTDA</t>
        </is>
      </c>
      <c r="E251" s="16" t="n">
        <v>5009071350</v>
      </c>
      <c r="F251" s="16" t="inlineStr">
        <is>
          <t>05/09/2025</t>
        </is>
      </c>
      <c r="G251" s="16" t="n">
        <v>5100349339</v>
      </c>
      <c r="H251" s="16" t="inlineStr">
        <is>
          <t>Devolucion</t>
        </is>
      </c>
      <c r="I251" s="16" t="inlineStr">
        <is>
          <t>02/09/2025</t>
        </is>
      </c>
      <c r="J251" s="16" t="n">
        <v>0</v>
      </c>
      <c r="K251" s="17" t="n">
        <v>475008</v>
      </c>
      <c r="L251" s="16" t="inlineStr">
        <is>
          <t>Palmira</t>
        </is>
      </c>
      <c r="N251" s="18">
        <f>_xlfn.CONCAT(H251 &amp;" "&amp; E251)</f>
        <v/>
      </c>
      <c r="O251" s="18" t="inlineStr">
        <is>
          <t>AVERIAS</t>
        </is>
      </c>
    </row>
    <row r="252">
      <c r="A252" s="16" t="n">
        <v>1327</v>
      </c>
      <c r="B252" s="16" t="inlineStr">
        <is>
          <t>Pagado</t>
        </is>
      </c>
      <c r="C252" s="16" t="n">
        <v>860002518</v>
      </c>
      <c r="D252" s="16" t="inlineStr">
        <is>
          <t>UNILEVER ANDINA COLOMBIA LTDA</t>
        </is>
      </c>
      <c r="E252" s="16" t="n">
        <v>5009084013</v>
      </c>
      <c r="F252" s="16" t="inlineStr">
        <is>
          <t>05/09/2025</t>
        </is>
      </c>
      <c r="G252" s="16" t="n">
        <v>5100352130</v>
      </c>
      <c r="H252" s="16" t="inlineStr">
        <is>
          <t>Devolucion</t>
        </is>
      </c>
      <c r="I252" s="16" t="inlineStr">
        <is>
          <t>04/09/2025</t>
        </is>
      </c>
      <c r="J252" s="16" t="n">
        <v>0</v>
      </c>
      <c r="K252" s="17" t="n">
        <v>97228</v>
      </c>
      <c r="L252" s="16" t="inlineStr">
        <is>
          <t>Barranquilla</t>
        </is>
      </c>
      <c r="N252" s="18">
        <f>_xlfn.CONCAT(H252 &amp;" "&amp; E252)</f>
        <v/>
      </c>
      <c r="O252" s="18" t="inlineStr">
        <is>
          <t>AVERIAS</t>
        </is>
      </c>
    </row>
    <row r="253">
      <c r="A253" s="16" t="n">
        <v>1328</v>
      </c>
      <c r="B253" s="16" t="inlineStr">
        <is>
          <t>Pagado</t>
        </is>
      </c>
      <c r="C253" s="16" t="n">
        <v>860002518</v>
      </c>
      <c r="D253" s="16" t="inlineStr">
        <is>
          <t>UNILEVER ANDINA COLOMBIA LTDA</t>
        </is>
      </c>
      <c r="E253" s="16" t="n">
        <v>5009084012</v>
      </c>
      <c r="F253" s="16" t="inlineStr">
        <is>
          <t>05/09/2025</t>
        </is>
      </c>
      <c r="G253" s="16" t="n">
        <v>5100352129</v>
      </c>
      <c r="H253" s="16" t="inlineStr">
        <is>
          <t>Devolucion</t>
        </is>
      </c>
      <c r="I253" s="16" t="inlineStr">
        <is>
          <t>04/09/2025</t>
        </is>
      </c>
      <c r="J253" s="16" t="n">
        <v>0</v>
      </c>
      <c r="K253" s="17" t="n">
        <v>20132</v>
      </c>
      <c r="L253" s="16" t="inlineStr">
        <is>
          <t>Barranquilla</t>
        </is>
      </c>
      <c r="N253" s="18">
        <f>_xlfn.CONCAT(H253 &amp;" "&amp; E253)</f>
        <v/>
      </c>
      <c r="O253" s="18" t="inlineStr">
        <is>
          <t>AVERIAS</t>
        </is>
      </c>
    </row>
    <row r="254">
      <c r="A254" s="16" t="n">
        <v>1329</v>
      </c>
      <c r="B254" s="16" t="inlineStr">
        <is>
          <t>Pagado</t>
        </is>
      </c>
      <c r="C254" s="16" t="n">
        <v>860002518</v>
      </c>
      <c r="D254" s="16" t="inlineStr">
        <is>
          <t>UNILEVER ANDINA COLOMBIA LTDA</t>
        </is>
      </c>
      <c r="E254" s="16" t="inlineStr">
        <is>
          <t>NOTA DEVOLUCIÓN</t>
        </is>
      </c>
      <c r="F254" s="16" t="inlineStr">
        <is>
          <t>12/09/2025</t>
        </is>
      </c>
      <c r="G254" s="16" t="n">
        <v>1700027505</v>
      </c>
      <c r="H254" s="16" t="inlineStr">
        <is>
          <t>Nota</t>
        </is>
      </c>
      <c r="I254" s="16" t="inlineStr">
        <is>
          <t>05/09/2025</t>
        </is>
      </c>
      <c r="J254" s="16" t="n">
        <v>0</v>
      </c>
      <c r="K254" s="17" t="n">
        <v>52023765</v>
      </c>
      <c r="L254" s="16" t="inlineStr">
        <is>
          <t>Barranquilla</t>
        </is>
      </c>
      <c r="M254" s="16" t="inlineStr">
        <is>
          <t>NOTA DEVOLUCIÓN POR DEPURACIÓN INVENTARIO SEP 25</t>
        </is>
      </c>
      <c r="N254" s="18">
        <f>+M254</f>
        <v/>
      </c>
      <c r="O254" s="18" t="inlineStr">
        <is>
          <t>Ventas</t>
        </is>
      </c>
    </row>
    <row r="255">
      <c r="A255" s="16" t="n">
        <v>1330</v>
      </c>
      <c r="B255" s="16" t="inlineStr">
        <is>
          <t>Pagado</t>
        </is>
      </c>
      <c r="C255" s="16" t="n">
        <v>860002518</v>
      </c>
      <c r="D255" s="16" t="inlineStr">
        <is>
          <t>UNILEVER ANDINA COLOMBIA LTDA</t>
        </is>
      </c>
      <c r="E255" s="16" t="n">
        <v>5009088424</v>
      </c>
      <c r="F255" s="16" t="inlineStr">
        <is>
          <t>11/09/2025</t>
        </is>
      </c>
      <c r="G255" s="16" t="n">
        <v>5100353302</v>
      </c>
      <c r="H255" s="16" t="inlineStr">
        <is>
          <t>Devolucion</t>
        </is>
      </c>
      <c r="I255" s="16" t="inlineStr">
        <is>
          <t>05/09/2025</t>
        </is>
      </c>
      <c r="J255" s="16" t="n">
        <v>0</v>
      </c>
      <c r="K255" s="17" t="n">
        <v>142773</v>
      </c>
      <c r="L255" s="16" t="inlineStr">
        <is>
          <t>Cerritos</t>
        </is>
      </c>
      <c r="N255" s="18">
        <f>_xlfn.CONCAT(H255 &amp;" "&amp; E255)</f>
        <v/>
      </c>
      <c r="O255" s="18" t="inlineStr">
        <is>
          <t>AVERIAS</t>
        </is>
      </c>
    </row>
    <row r="256">
      <c r="A256" s="16" t="n">
        <v>1331</v>
      </c>
      <c r="B256" s="16" t="inlineStr">
        <is>
          <t>Pagado</t>
        </is>
      </c>
      <c r="C256" s="16" t="n">
        <v>860002518</v>
      </c>
      <c r="D256" s="16" t="inlineStr">
        <is>
          <t>UNILEVER ANDINA COLOMBIA LTDA</t>
        </is>
      </c>
      <c r="E256" s="16" t="n">
        <v>5009088603</v>
      </c>
      <c r="F256" s="16" t="inlineStr">
        <is>
          <t>11/09/2025</t>
        </is>
      </c>
      <c r="G256" s="16" t="n">
        <v>5100353359</v>
      </c>
      <c r="H256" s="16" t="inlineStr">
        <is>
          <t>Devolucion</t>
        </is>
      </c>
      <c r="I256" s="16" t="inlineStr">
        <is>
          <t>05/09/2025</t>
        </is>
      </c>
      <c r="J256" s="16" t="n">
        <v>0</v>
      </c>
      <c r="K256" s="17" t="n">
        <v>25384</v>
      </c>
      <c r="L256" s="16" t="inlineStr">
        <is>
          <t>Cerritos</t>
        </is>
      </c>
      <c r="N256" s="18">
        <f>_xlfn.CONCAT(H256 &amp;" "&amp; E256)</f>
        <v/>
      </c>
      <c r="O256" s="18" t="inlineStr">
        <is>
          <t>AVERIAS</t>
        </is>
      </c>
    </row>
    <row r="257">
      <c r="A257" s="16" t="n">
        <v>1332</v>
      </c>
      <c r="B257" s="16" t="inlineStr">
        <is>
          <t>Pagado</t>
        </is>
      </c>
      <c r="C257" s="16" t="n">
        <v>860002518</v>
      </c>
      <c r="D257" s="16" t="inlineStr">
        <is>
          <t>UNILEVER ANDINA COLOMBIA LTDA</t>
        </is>
      </c>
      <c r="E257" s="16" t="inlineStr">
        <is>
          <t>NOTA DEVOLUCIÓN</t>
        </is>
      </c>
      <c r="F257" s="16" t="inlineStr">
        <is>
          <t>12/09/2025</t>
        </is>
      </c>
      <c r="G257" s="16" t="n">
        <v>1700027317</v>
      </c>
      <c r="H257" s="16" t="inlineStr">
        <is>
          <t>Nota</t>
        </is>
      </c>
      <c r="I257" s="16" t="inlineStr">
        <is>
          <t>05/09/2025</t>
        </is>
      </c>
      <c r="J257" s="16" t="n">
        <v>0</v>
      </c>
      <c r="K257" s="17" t="n">
        <v>9458910</v>
      </c>
      <c r="L257" s="16" t="inlineStr">
        <is>
          <t>Cerritos</t>
        </is>
      </c>
      <c r="M257" s="16" t="inlineStr">
        <is>
          <t>NOTA DEVOLUCIÓN POR DEPURACIÓN INVENTARIO SEP 25</t>
        </is>
      </c>
      <c r="N257" s="18">
        <f>+M257</f>
        <v/>
      </c>
      <c r="O257" s="18" t="inlineStr">
        <is>
          <t>Ventas</t>
        </is>
      </c>
    </row>
    <row r="258">
      <c r="A258" s="16" t="n">
        <v>1333</v>
      </c>
      <c r="B258" s="16" t="inlineStr">
        <is>
          <t>Pagado</t>
        </is>
      </c>
      <c r="C258" s="16" t="n">
        <v>860002518</v>
      </c>
      <c r="D258" s="16" t="inlineStr">
        <is>
          <t>UNILEVER ANDINA COLOMBIA LTDA</t>
        </is>
      </c>
      <c r="E258" s="16" t="n">
        <v>5009087810</v>
      </c>
      <c r="F258" s="16" t="inlineStr">
        <is>
          <t>08/09/2025</t>
        </is>
      </c>
      <c r="G258" s="16" t="n">
        <v>5100353077</v>
      </c>
      <c r="H258" s="16" t="inlineStr">
        <is>
          <t>Devolucion</t>
        </is>
      </c>
      <c r="I258" s="16" t="inlineStr">
        <is>
          <t>05/09/2025</t>
        </is>
      </c>
      <c r="J258" s="16" t="n">
        <v>0</v>
      </c>
      <c r="K258" s="17" t="n">
        <v>1364506</v>
      </c>
      <c r="N258" s="18">
        <f>_xlfn.CONCAT(H258 &amp;" "&amp; E258)</f>
        <v/>
      </c>
      <c r="O258" s="18" t="inlineStr">
        <is>
          <t>AVERIAS</t>
        </is>
      </c>
    </row>
    <row r="259">
      <c r="A259" s="16" t="n">
        <v>1334</v>
      </c>
      <c r="B259" s="16" t="inlineStr">
        <is>
          <t>Pagado</t>
        </is>
      </c>
      <c r="C259" s="16" t="n">
        <v>860002518</v>
      </c>
      <c r="D259" s="16" t="inlineStr">
        <is>
          <t>UNILEVER ANDINA COLOMBIA LTDA</t>
        </is>
      </c>
      <c r="E259" s="16" t="inlineStr">
        <is>
          <t>NOTA DEVOLUCIÓN</t>
        </is>
      </c>
      <c r="F259" s="16" t="inlineStr">
        <is>
          <t>08/09/2025</t>
        </is>
      </c>
      <c r="G259" s="16" t="n">
        <v>1700027855</v>
      </c>
      <c r="H259" s="16" t="inlineStr">
        <is>
          <t>Nota</t>
        </is>
      </c>
      <c r="I259" s="16" t="inlineStr">
        <is>
          <t>05/09/2025</t>
        </is>
      </c>
      <c r="J259" s="16" t="n">
        <v>0</v>
      </c>
      <c r="K259" s="17" t="n">
        <v>1319255</v>
      </c>
      <c r="L259" s="16" t="inlineStr">
        <is>
          <t>Cota</t>
        </is>
      </c>
      <c r="M259" s="16" t="inlineStr">
        <is>
          <t>NOTA DEVOLUCIÓN POR DEPURACIÓN INVENTARIO SEP 25</t>
        </is>
      </c>
      <c r="N259" s="18">
        <f>+M259</f>
        <v/>
      </c>
      <c r="O259" s="18" t="inlineStr">
        <is>
          <t>Ventas</t>
        </is>
      </c>
    </row>
    <row r="260">
      <c r="A260" s="16" t="n">
        <v>1335</v>
      </c>
      <c r="B260" s="16" t="inlineStr">
        <is>
          <t>Pagado</t>
        </is>
      </c>
      <c r="C260" s="16" t="n">
        <v>860002518</v>
      </c>
      <c r="D260" s="16" t="inlineStr">
        <is>
          <t>UNILEVER ANDINA COLOMBIA LTDA</t>
        </is>
      </c>
      <c r="E260" s="16" t="inlineStr">
        <is>
          <t>NOTA DEVOLUCIÓN</t>
        </is>
      </c>
      <c r="F260" s="16" t="inlineStr">
        <is>
          <t>12/09/2025</t>
        </is>
      </c>
      <c r="G260" s="16" t="n">
        <v>1700027699</v>
      </c>
      <c r="H260" s="16" t="inlineStr">
        <is>
          <t>Nota</t>
        </is>
      </c>
      <c r="I260" s="16" t="inlineStr">
        <is>
          <t>05/09/2025</t>
        </is>
      </c>
      <c r="J260" s="16" t="n">
        <v>0</v>
      </c>
      <c r="K260" s="17" t="n">
        <v>5923198</v>
      </c>
      <c r="L260" s="16" t="inlineStr">
        <is>
          <t>Palmira</t>
        </is>
      </c>
      <c r="M260" s="16" t="inlineStr">
        <is>
          <t>NOTA DEVOLUCIÓN POR DEPURACIÓN INVENTARIO SEP 25</t>
        </is>
      </c>
      <c r="N260" s="18">
        <f>+M260</f>
        <v/>
      </c>
      <c r="O260" s="18" t="inlineStr">
        <is>
          <t>Ventas</t>
        </is>
      </c>
    </row>
    <row r="261">
      <c r="A261" s="16" t="n">
        <v>1336</v>
      </c>
      <c r="B261" s="16" t="inlineStr">
        <is>
          <t>Pagado</t>
        </is>
      </c>
      <c r="C261" s="16" t="n">
        <v>860002518</v>
      </c>
      <c r="D261" s="16" t="inlineStr">
        <is>
          <t>UNILEVER ANDINA COLOMBIA LTDA</t>
        </is>
      </c>
      <c r="E261" s="16" t="inlineStr">
        <is>
          <t>NOTA DEVOLUCIÓN</t>
        </is>
      </c>
      <c r="F261" s="16" t="inlineStr">
        <is>
          <t>12/09/2025</t>
        </is>
      </c>
      <c r="G261" s="16" t="n">
        <v>1700028005</v>
      </c>
      <c r="H261" s="16" t="inlineStr">
        <is>
          <t>Nota</t>
        </is>
      </c>
      <c r="I261" s="16" t="inlineStr">
        <is>
          <t>05/09/2025</t>
        </is>
      </c>
      <c r="J261" s="16" t="n">
        <v>0</v>
      </c>
      <c r="K261" s="17" t="n">
        <v>6652327</v>
      </c>
      <c r="L261" s="16" t="inlineStr">
        <is>
          <t>Bucaramanga ZF</t>
        </is>
      </c>
      <c r="M261" s="16" t="inlineStr">
        <is>
          <t>NOTA DEVOLUCIÓN POR DEPURACIÓN INVENTARIO SEP 25</t>
        </is>
      </c>
      <c r="N261" s="18">
        <f>+M261</f>
        <v/>
      </c>
      <c r="O261" s="18" t="inlineStr">
        <is>
          <t>Ventas</t>
        </is>
      </c>
    </row>
    <row r="262">
      <c r="A262" s="16" t="n">
        <v>1337</v>
      </c>
      <c r="B262" s="16" t="inlineStr">
        <is>
          <t>Pagado</t>
        </is>
      </c>
      <c r="C262" s="16" t="n">
        <v>860002518</v>
      </c>
      <c r="D262" s="16" t="inlineStr">
        <is>
          <t>UNILEVER ANDINA COLOMBIA LTDA</t>
        </is>
      </c>
      <c r="E262" s="16" t="inlineStr">
        <is>
          <t>NOTA DEVOLUCIÓN</t>
        </is>
      </c>
      <c r="F262" s="16" t="inlineStr">
        <is>
          <t>12/09/2025</t>
        </is>
      </c>
      <c r="G262" s="16" t="n">
        <v>1700028196</v>
      </c>
      <c r="H262" s="16" t="inlineStr">
        <is>
          <t>Nota</t>
        </is>
      </c>
      <c r="I262" s="16" t="inlineStr">
        <is>
          <t>05/09/2025</t>
        </is>
      </c>
      <c r="J262" s="16" t="n">
        <v>0</v>
      </c>
      <c r="K262" s="17" t="n">
        <v>14421092</v>
      </c>
      <c r="M262" s="16" t="inlineStr">
        <is>
          <t>NOTA DEVOLUCIÓN POR DEPURACIÓN INVENTARIO SEP 25</t>
        </is>
      </c>
      <c r="N262" s="18">
        <f>+M262</f>
        <v/>
      </c>
      <c r="O262" s="18" t="inlineStr">
        <is>
          <t>Ventas</t>
        </is>
      </c>
    </row>
    <row r="263">
      <c r="A263" s="16" t="n">
        <v>1338</v>
      </c>
      <c r="B263" s="16" t="inlineStr">
        <is>
          <t>Pagado</t>
        </is>
      </c>
      <c r="C263" s="16" t="n">
        <v>860002518</v>
      </c>
      <c r="D263" s="16" t="inlineStr">
        <is>
          <t>UNILEVER ANDINA COLOMBIA LTDA</t>
        </is>
      </c>
      <c r="E263" s="16" t="n">
        <v>5009088092</v>
      </c>
      <c r="F263" s="16" t="inlineStr">
        <is>
          <t>08/09/2025</t>
        </is>
      </c>
      <c r="G263" s="16" t="n">
        <v>5100353148</v>
      </c>
      <c r="H263" s="16" t="inlineStr">
        <is>
          <t>Devolucion</t>
        </is>
      </c>
      <c r="I263" s="16" t="inlineStr">
        <is>
          <t>05/09/2025</t>
        </is>
      </c>
      <c r="J263" s="16" t="n">
        <v>0</v>
      </c>
      <c r="K263" s="17" t="n">
        <v>177206</v>
      </c>
      <c r="N263" s="18">
        <f>_xlfn.CONCAT(H263 &amp;" "&amp; E263)</f>
        <v/>
      </c>
      <c r="O263" s="18" t="inlineStr">
        <is>
          <t>AVERIAS</t>
        </is>
      </c>
    </row>
    <row r="264">
      <c r="A264" s="16" t="n">
        <v>1339</v>
      </c>
      <c r="B264" s="16" t="inlineStr">
        <is>
          <t>Pagado</t>
        </is>
      </c>
      <c r="C264" s="16" t="n">
        <v>860002518</v>
      </c>
      <c r="D264" s="16" t="inlineStr">
        <is>
          <t>UNILEVER ANDINA COLOMBIA LTDA</t>
        </is>
      </c>
      <c r="E264" s="16" t="inlineStr">
        <is>
          <t>AUT.G.COMERCIAL</t>
        </is>
      </c>
      <c r="F264" s="16" t="inlineStr">
        <is>
          <t>12/09/2025</t>
        </is>
      </c>
      <c r="G264" s="16" t="n">
        <v>1700028336</v>
      </c>
      <c r="H264" s="16" t="inlineStr">
        <is>
          <t>Nota</t>
        </is>
      </c>
      <c r="I264" s="16" t="inlineStr">
        <is>
          <t>08/09/2025</t>
        </is>
      </c>
      <c r="J264" s="16" t="n">
        <v>0</v>
      </c>
      <c r="K264" s="17" t="n">
        <v>1059035</v>
      </c>
      <c r="L264" s="16" t="inlineStr">
        <is>
          <t>Cota</t>
        </is>
      </c>
      <c r="M264" s="16" t="inlineStr">
        <is>
          <t>Dev.&gt;.a.30.dias.en.CEDI.8_Sep_</t>
        </is>
      </c>
      <c r="N264" s="18">
        <f>+M264</f>
        <v/>
      </c>
      <c r="O264" s="18" t="inlineStr">
        <is>
          <t xml:space="preserve">COL </t>
        </is>
      </c>
    </row>
    <row r="265">
      <c r="A265" s="16" t="n">
        <v>1340</v>
      </c>
      <c r="B265" s="16" t="inlineStr">
        <is>
          <t>Pagado</t>
        </is>
      </c>
      <c r="C265" s="16" t="n">
        <v>860002518</v>
      </c>
      <c r="D265" s="16" t="inlineStr">
        <is>
          <t>UNILEVER ANDINA COLOMBIA LTDA</t>
        </is>
      </c>
      <c r="E265" s="16" t="n">
        <v>5009107006</v>
      </c>
      <c r="F265" s="16" t="inlineStr">
        <is>
          <t>11/09/2025</t>
        </is>
      </c>
      <c r="G265" s="16" t="n">
        <v>5100358075</v>
      </c>
      <c r="H265" s="16" t="inlineStr">
        <is>
          <t>Devolucion</t>
        </is>
      </c>
      <c r="I265" s="16" t="inlineStr">
        <is>
          <t>10/09/2025</t>
        </is>
      </c>
      <c r="J265" s="16" t="n">
        <v>0</v>
      </c>
      <c r="K265" s="17" t="n">
        <v>53460</v>
      </c>
      <c r="N265" s="18">
        <f>_xlfn.CONCAT(H265 &amp;" "&amp; E265)</f>
        <v/>
      </c>
      <c r="O265" s="18" t="inlineStr">
        <is>
          <t>AVERIAS</t>
        </is>
      </c>
    </row>
    <row r="266">
      <c r="A266" s="16" t="n">
        <v>1341</v>
      </c>
      <c r="B266" s="16" t="inlineStr">
        <is>
          <t>Pagado</t>
        </is>
      </c>
      <c r="C266" s="16" t="n">
        <v>860002518</v>
      </c>
      <c r="D266" s="16" t="inlineStr">
        <is>
          <t>UNILEVER ANDINA COLOMBIA LTDA</t>
        </is>
      </c>
      <c r="E266" s="16" t="n">
        <v>5009114573</v>
      </c>
      <c r="F266" s="16" t="inlineStr">
        <is>
          <t>16/09/2025</t>
        </is>
      </c>
      <c r="G266" s="16" t="n">
        <v>5100360160</v>
      </c>
      <c r="H266" s="16" t="inlineStr">
        <is>
          <t>Devolucion</t>
        </is>
      </c>
      <c r="I266" s="16" t="inlineStr">
        <is>
          <t>11/09/2025</t>
        </is>
      </c>
      <c r="J266" s="16" t="n">
        <v>0</v>
      </c>
      <c r="K266" s="17" t="n">
        <v>29253</v>
      </c>
      <c r="N266" s="18">
        <f>_xlfn.CONCAT(H266 &amp;" "&amp; E266)</f>
        <v/>
      </c>
      <c r="O266" s="18" t="inlineStr">
        <is>
          <t>AVERIAS</t>
        </is>
      </c>
    </row>
    <row r="267">
      <c r="A267" s="16" t="n">
        <v>1342</v>
      </c>
      <c r="B267" s="16" t="inlineStr">
        <is>
          <t>Pagado</t>
        </is>
      </c>
      <c r="C267" s="16" t="n">
        <v>860002518</v>
      </c>
      <c r="D267" s="16" t="inlineStr">
        <is>
          <t>UNILEVER ANDINA COLOMBIA LTDA</t>
        </is>
      </c>
      <c r="E267" s="16" t="n">
        <v>5009114165</v>
      </c>
      <c r="F267" s="16" t="inlineStr">
        <is>
          <t>16/09/2025</t>
        </is>
      </c>
      <c r="G267" s="16" t="n">
        <v>5100359927</v>
      </c>
      <c r="H267" s="16" t="inlineStr">
        <is>
          <t>Devolucion</t>
        </is>
      </c>
      <c r="I267" s="16" t="inlineStr">
        <is>
          <t>11/09/2025</t>
        </is>
      </c>
      <c r="J267" s="16" t="n">
        <v>0</v>
      </c>
      <c r="K267" s="17" t="n">
        <v>396441</v>
      </c>
      <c r="L267" s="16" t="inlineStr">
        <is>
          <t>Cerritos</t>
        </is>
      </c>
      <c r="N267" s="18">
        <f>_xlfn.CONCAT(H267 &amp;" "&amp; E267)</f>
        <v/>
      </c>
      <c r="O267" s="18" t="inlineStr">
        <is>
          <t>AVERIAS</t>
        </is>
      </c>
    </row>
    <row r="268">
      <c r="A268" s="16" t="n">
        <v>1343</v>
      </c>
      <c r="B268" s="16" t="inlineStr">
        <is>
          <t>Pagado</t>
        </is>
      </c>
      <c r="C268" s="16" t="n">
        <v>860002518</v>
      </c>
      <c r="D268" s="16" t="inlineStr">
        <is>
          <t>UNILEVER ANDINA COLOMBIA LTDA</t>
        </is>
      </c>
      <c r="E268" s="16" t="n">
        <v>5009121261</v>
      </c>
      <c r="F268" s="16" t="inlineStr">
        <is>
          <t>16/09/2025</t>
        </is>
      </c>
      <c r="G268" s="16" t="n">
        <v>5100362141</v>
      </c>
      <c r="H268" s="16" t="inlineStr">
        <is>
          <t>Devolucion</t>
        </is>
      </c>
      <c r="I268" s="16" t="inlineStr">
        <is>
          <t>13/09/2025</t>
        </is>
      </c>
      <c r="J268" s="16" t="n">
        <v>0</v>
      </c>
      <c r="K268" s="17" t="n">
        <v>35334</v>
      </c>
      <c r="L268" s="16" t="inlineStr">
        <is>
          <t>Cota</t>
        </is>
      </c>
      <c r="N268" s="18">
        <f>_xlfn.CONCAT(H268 &amp;" "&amp; E268)</f>
        <v/>
      </c>
      <c r="O268" s="18" t="inlineStr">
        <is>
          <t>AVERIAS</t>
        </is>
      </c>
    </row>
    <row r="269">
      <c r="A269" s="16" t="n">
        <v>1344</v>
      </c>
      <c r="B269" s="16" t="inlineStr">
        <is>
          <t>Pagado</t>
        </is>
      </c>
      <c r="C269" s="16" t="n">
        <v>860002518</v>
      </c>
      <c r="D269" s="16" t="inlineStr">
        <is>
          <t>UNILEVER ANDINA COLOMBIA LTDA</t>
        </is>
      </c>
      <c r="E269" s="16" t="n">
        <v>5009119420</v>
      </c>
      <c r="F269" s="16" t="inlineStr">
        <is>
          <t>16/09/2025</t>
        </is>
      </c>
      <c r="G269" s="16" t="n">
        <v>5100361622</v>
      </c>
      <c r="H269" s="16" t="inlineStr">
        <is>
          <t>Devolucion</t>
        </is>
      </c>
      <c r="I269" s="16" t="inlineStr">
        <is>
          <t>13/09/2025</t>
        </is>
      </c>
      <c r="J269" s="16" t="n">
        <v>0</v>
      </c>
      <c r="K269" s="17" t="n">
        <v>2285323</v>
      </c>
      <c r="L269" s="16" t="inlineStr">
        <is>
          <t>Palmira</t>
        </is>
      </c>
      <c r="N269" s="18">
        <f>_xlfn.CONCAT(H269 &amp;" "&amp; E269)</f>
        <v/>
      </c>
      <c r="O269" s="18" t="inlineStr">
        <is>
          <t>AVERIAS</t>
        </is>
      </c>
    </row>
    <row r="270">
      <c r="A270" s="16" t="n">
        <v>1345</v>
      </c>
      <c r="B270" s="16" t="inlineStr">
        <is>
          <t>Pagado</t>
        </is>
      </c>
      <c r="C270" s="16" t="n">
        <v>860002518</v>
      </c>
      <c r="D270" s="16" t="inlineStr">
        <is>
          <t>UNILEVER ANDINA COLOMBIA LTDA</t>
        </is>
      </c>
      <c r="E270" s="16" t="n">
        <v>5009121269</v>
      </c>
      <c r="F270" s="16" t="inlineStr">
        <is>
          <t>16/09/2025</t>
        </is>
      </c>
      <c r="G270" s="16" t="n">
        <v>5100362172</v>
      </c>
      <c r="H270" s="16" t="inlineStr">
        <is>
          <t>Devolucion</t>
        </is>
      </c>
      <c r="I270" s="16" t="inlineStr">
        <is>
          <t>15/09/2025</t>
        </is>
      </c>
      <c r="J270" s="16" t="n">
        <v>0</v>
      </c>
      <c r="K270" s="17" t="n">
        <v>5439584</v>
      </c>
      <c r="L270" s="16" t="inlineStr">
        <is>
          <t>Cota</t>
        </is>
      </c>
      <c r="N270" s="18">
        <f>_xlfn.CONCAT(H270 &amp;" "&amp; E270)</f>
        <v/>
      </c>
      <c r="O270" s="18" t="inlineStr">
        <is>
          <t>AVERIAS</t>
        </is>
      </c>
    </row>
    <row r="271">
      <c r="A271" s="16" t="n">
        <v>1493</v>
      </c>
      <c r="B271" s="16" t="inlineStr">
        <is>
          <t>Pagado</t>
        </is>
      </c>
      <c r="C271" s="16" t="n">
        <v>860002518</v>
      </c>
      <c r="D271" s="16" t="inlineStr">
        <is>
          <t>UNILEVER ANDINA COLOMBIA LTDA</t>
        </is>
      </c>
      <c r="E271" s="16" t="inlineStr">
        <is>
          <t>PMP1256434</t>
        </is>
      </c>
      <c r="F271" s="16" t="inlineStr">
        <is>
          <t>02/09/2025</t>
        </is>
      </c>
      <c r="G271" s="16" t="n">
        <v>5100267266</v>
      </c>
      <c r="H271" s="16" t="inlineStr">
        <is>
          <t>Factura Acrededor</t>
        </is>
      </c>
      <c r="I271" s="16" t="inlineStr">
        <is>
          <t>27/06/2025</t>
        </is>
      </c>
      <c r="J271" s="16" t="n">
        <v>0</v>
      </c>
      <c r="K271" s="17" t="n">
        <v>-19494012</v>
      </c>
      <c r="L271" s="16" t="inlineStr">
        <is>
          <t>Bucaramanga ZF</t>
        </is>
      </c>
      <c r="M271" s="16" t="inlineStr">
        <is>
          <t>UNILEVER ANDINA COLOMBIA LTDA/CONCILIACION</t>
        </is>
      </c>
      <c r="N271" s="18">
        <f>+H271&amp;" "&amp; E271</f>
        <v/>
      </c>
      <c r="O271" s="18" t="inlineStr">
        <is>
          <t>Cartera</t>
        </is>
      </c>
    </row>
    <row r="272">
      <c r="A272" s="16" t="n">
        <v>1494</v>
      </c>
      <c r="B272" s="16" t="inlineStr">
        <is>
          <t>Pagado</t>
        </is>
      </c>
      <c r="C272" s="16" t="n">
        <v>860002518</v>
      </c>
      <c r="D272" s="16" t="inlineStr">
        <is>
          <t>UNILEVER ANDINA COLOMBIA LTDA</t>
        </is>
      </c>
      <c r="E272" s="16" t="inlineStr">
        <is>
          <t>PMP1256434</t>
        </is>
      </c>
      <c r="F272" s="16" t="inlineStr">
        <is>
          <t>09/09/2025</t>
        </is>
      </c>
      <c r="G272" s="16" t="n">
        <v>1700019589</v>
      </c>
      <c r="H272" s="16" t="inlineStr">
        <is>
          <t>Nota</t>
        </is>
      </c>
      <c r="I272" s="16" t="inlineStr">
        <is>
          <t>02/09/2025</t>
        </is>
      </c>
      <c r="J272" s="16" t="n">
        <v>0</v>
      </c>
      <c r="K272" s="17" t="n">
        <v>917381</v>
      </c>
      <c r="L272" s="16" t="inlineStr">
        <is>
          <t>Bucaramanga ZF</t>
        </is>
      </c>
      <c r="M272" s="16" t="inlineStr">
        <is>
          <t>UNILEVER ANDINA COLOMBIA LTDA DCTO 8% C/FIDENCIAL</t>
        </is>
      </c>
      <c r="N272" s="18">
        <f>+M272</f>
        <v/>
      </c>
      <c r="O272" s="18" t="inlineStr">
        <is>
          <t>Ventas</t>
        </is>
      </c>
    </row>
    <row r="273">
      <c r="A273" s="16" t="n">
        <v>1496</v>
      </c>
      <c r="B273" s="16" t="inlineStr">
        <is>
          <t>Pagado</t>
        </is>
      </c>
      <c r="C273" s="16" t="n">
        <v>860002518</v>
      </c>
      <c r="D273" s="16" t="inlineStr">
        <is>
          <t>UNILEVER ANDINA COLOMBIA LTDA</t>
        </is>
      </c>
      <c r="E273" s="16" t="inlineStr">
        <is>
          <t>PMP1256434</t>
        </is>
      </c>
      <c r="F273" s="16" t="inlineStr">
        <is>
          <t>02/09/2025</t>
        </is>
      </c>
      <c r="G273" s="16" t="n">
        <v>5100267267</v>
      </c>
      <c r="H273" s="16" t="inlineStr">
        <is>
          <t>Reduc Factura Compra</t>
        </is>
      </c>
      <c r="I273" s="16" t="inlineStr">
        <is>
          <t>27/06/2025</t>
        </is>
      </c>
      <c r="J273" s="16" t="n">
        <v>0</v>
      </c>
      <c r="K273" s="17" t="n">
        <v>5847973</v>
      </c>
      <c r="L273" s="16" t="inlineStr">
        <is>
          <t>Bucaramanga ZF</t>
        </is>
      </c>
      <c r="M273" s="16" t="inlineStr">
        <is>
          <t>UNILEVER ANDINA COLOMBIA LTDA/CONCILIACION</t>
        </is>
      </c>
      <c r="N273" s="18">
        <f>+H273&amp;" "&amp;E273</f>
        <v/>
      </c>
      <c r="O273" s="18" t="inlineStr">
        <is>
          <t>Ventas</t>
        </is>
      </c>
    </row>
    <row r="274">
      <c r="A274" s="16" t="n">
        <v>1667</v>
      </c>
      <c r="B274" s="16" t="inlineStr">
        <is>
          <t>Pagado</t>
        </is>
      </c>
      <c r="C274" s="16" t="n">
        <v>860002518</v>
      </c>
      <c r="D274" s="16" t="inlineStr">
        <is>
          <t>UNILEVER ANDINA COLOMBIA LTDA</t>
        </is>
      </c>
      <c r="E274" s="16" t="inlineStr">
        <is>
          <t>PMP1270680</t>
        </is>
      </c>
      <c r="F274" s="16" t="inlineStr">
        <is>
          <t>01/09/2025</t>
        </is>
      </c>
      <c r="G274" s="16" t="n">
        <v>5100309208</v>
      </c>
      <c r="H274" s="16" t="inlineStr">
        <is>
          <t>Factura Acrededor</t>
        </is>
      </c>
      <c r="I274" s="16" t="inlineStr">
        <is>
          <t>04/08/2025</t>
        </is>
      </c>
      <c r="J274" s="16" t="n">
        <v>0</v>
      </c>
      <c r="K274" s="17" t="n">
        <v>-29379157</v>
      </c>
      <c r="L274" s="16" t="inlineStr">
        <is>
          <t>Barranquilla</t>
        </is>
      </c>
      <c r="M274" s="16" t="inlineStr">
        <is>
          <t>UNILEVER ANDINA COLOMBIA LTDA</t>
        </is>
      </c>
      <c r="N274" s="18">
        <f>+H274&amp;" "&amp; E274</f>
        <v/>
      </c>
      <c r="O274" s="18" t="inlineStr">
        <is>
          <t>Cartera</t>
        </is>
      </c>
    </row>
    <row r="275">
      <c r="A275" s="16" t="n">
        <v>1672</v>
      </c>
      <c r="B275" s="16" t="inlineStr">
        <is>
          <t>Pagado</t>
        </is>
      </c>
      <c r="C275" s="16" t="n">
        <v>860002518</v>
      </c>
      <c r="D275" s="16" t="inlineStr">
        <is>
          <t>UNILEVER ANDINA COLOMBIA LTDA</t>
        </is>
      </c>
      <c r="E275" s="16" t="inlineStr">
        <is>
          <t>PMP1270680</t>
        </is>
      </c>
      <c r="F275" s="16" t="inlineStr">
        <is>
          <t>01/09/2025</t>
        </is>
      </c>
      <c r="G275" s="16" t="n">
        <v>5100309209</v>
      </c>
      <c r="H275" s="16" t="inlineStr">
        <is>
          <t>Reduc Factura Compra</t>
        </is>
      </c>
      <c r="I275" s="16" t="inlineStr">
        <is>
          <t>04/08/2025</t>
        </is>
      </c>
      <c r="J275" s="16" t="n">
        <v>0</v>
      </c>
      <c r="K275" s="17" t="n">
        <v>31283</v>
      </c>
      <c r="L275" s="16" t="inlineStr">
        <is>
          <t>Barranquilla</t>
        </is>
      </c>
      <c r="M275" s="16" t="inlineStr">
        <is>
          <t>UNILEVER ANDINA COLOMBIA LTDA</t>
        </is>
      </c>
      <c r="N275" s="18">
        <f>+H275&amp;" "&amp;E275</f>
        <v/>
      </c>
      <c r="O275" s="18" t="inlineStr">
        <is>
          <t>Ventas</t>
        </is>
      </c>
    </row>
    <row r="276">
      <c r="A276" s="16" t="n">
        <v>1673</v>
      </c>
      <c r="B276" s="16" t="inlineStr">
        <is>
          <t>Pagado</t>
        </is>
      </c>
      <c r="C276" s="16" t="n">
        <v>860002518</v>
      </c>
      <c r="D276" s="16" t="inlineStr">
        <is>
          <t>UNILEVER ANDINA COLOMBIA LTDA</t>
        </is>
      </c>
      <c r="E276" s="16" t="inlineStr">
        <is>
          <t>PMP1270675</t>
        </is>
      </c>
      <c r="F276" s="16" t="inlineStr">
        <is>
          <t>01/09/2025</t>
        </is>
      </c>
      <c r="G276" s="16" t="n">
        <v>5100310155</v>
      </c>
      <c r="H276" s="16" t="inlineStr">
        <is>
          <t>Factura Acrededor</t>
        </is>
      </c>
      <c r="I276" s="16" t="inlineStr">
        <is>
          <t>05/08/2025</t>
        </is>
      </c>
      <c r="J276" s="16" t="n">
        <v>0</v>
      </c>
      <c r="K276" s="17" t="n">
        <v>-24199485</v>
      </c>
      <c r="L276" s="16" t="inlineStr">
        <is>
          <t>Barranquilla</t>
        </is>
      </c>
      <c r="M276" s="16" t="inlineStr">
        <is>
          <t>UNILEVER ANDINA COLOMBIA LTDA</t>
        </is>
      </c>
      <c r="N276" s="18">
        <f>+H276&amp;" "&amp; E276</f>
        <v/>
      </c>
      <c r="O276" s="18" t="inlineStr">
        <is>
          <t>Cartera</t>
        </is>
      </c>
    </row>
    <row r="277">
      <c r="A277" s="16" t="n">
        <v>1675</v>
      </c>
      <c r="B277" s="16" t="inlineStr">
        <is>
          <t>Pagado</t>
        </is>
      </c>
      <c r="C277" s="16" t="n">
        <v>860002518</v>
      </c>
      <c r="D277" s="16" t="inlineStr">
        <is>
          <t>UNILEVER ANDINA COLOMBIA LTDA</t>
        </is>
      </c>
      <c r="E277" s="16" t="inlineStr">
        <is>
          <t>PMP1270675</t>
        </is>
      </c>
      <c r="F277" s="16" t="inlineStr">
        <is>
          <t>01/09/2025</t>
        </is>
      </c>
      <c r="G277" s="16" t="n">
        <v>5100310156</v>
      </c>
      <c r="H277" s="16" t="inlineStr">
        <is>
          <t>Reduc Factura Compra</t>
        </is>
      </c>
      <c r="I277" s="16" t="inlineStr">
        <is>
          <t>05/08/2025</t>
        </is>
      </c>
      <c r="J277" s="16" t="n">
        <v>0</v>
      </c>
      <c r="K277" s="17" t="n">
        <v>275251</v>
      </c>
      <c r="L277" s="16" t="inlineStr">
        <is>
          <t>Barranquilla</t>
        </is>
      </c>
      <c r="M277" s="16" t="inlineStr">
        <is>
          <t>UNILEVER ANDINA COLOMBIA LTDA</t>
        </is>
      </c>
      <c r="N277" s="18">
        <f>+H277&amp;" "&amp;E277</f>
        <v/>
      </c>
      <c r="O277" s="18" t="inlineStr">
        <is>
          <t>Ventas</t>
        </is>
      </c>
    </row>
    <row r="278">
      <c r="A278" s="16" t="n">
        <v>1678</v>
      </c>
      <c r="B278" s="16" t="inlineStr">
        <is>
          <t>Pagado</t>
        </is>
      </c>
      <c r="C278" s="16" t="n">
        <v>860002518</v>
      </c>
      <c r="D278" s="16" t="inlineStr">
        <is>
          <t>UNILEVER ANDINA COLOMBIA LTDA</t>
        </is>
      </c>
      <c r="E278" s="16" t="inlineStr">
        <is>
          <t>PMP1271670</t>
        </is>
      </c>
      <c r="F278" s="16" t="inlineStr">
        <is>
          <t>01/09/2025</t>
        </is>
      </c>
      <c r="G278" s="16" t="n">
        <v>5100309016</v>
      </c>
      <c r="H278" s="16" t="inlineStr">
        <is>
          <t>Reduc Factura Compra</t>
        </is>
      </c>
      <c r="I278" s="16" t="inlineStr">
        <is>
          <t>07/08/2025</t>
        </is>
      </c>
      <c r="J278" s="16" t="n">
        <v>0</v>
      </c>
      <c r="K278" s="17" t="n">
        <v>48558</v>
      </c>
      <c r="L278" s="16" t="inlineStr">
        <is>
          <t>Bucaramanga ZF</t>
        </is>
      </c>
      <c r="M278" s="16" t="inlineStr">
        <is>
          <t>UNILEVER ANDINA COLOMBIA LTDA/CONCILIACION</t>
        </is>
      </c>
      <c r="N278" s="18">
        <f>+H278&amp;" "&amp;E278</f>
        <v/>
      </c>
      <c r="O278" s="18" t="inlineStr">
        <is>
          <t>Ventas</t>
        </is>
      </c>
    </row>
    <row r="279">
      <c r="A279" s="16" t="n">
        <v>1680</v>
      </c>
      <c r="B279" s="16" t="inlineStr">
        <is>
          <t>Pagado</t>
        </is>
      </c>
      <c r="C279" s="16" t="n">
        <v>860002518</v>
      </c>
      <c r="D279" s="16" t="inlineStr">
        <is>
          <t>UNILEVER ANDINA COLOMBIA LTDA</t>
        </is>
      </c>
      <c r="E279" s="16" t="inlineStr">
        <is>
          <t>PMP1271670</t>
        </is>
      </c>
      <c r="F279" s="16" t="inlineStr">
        <is>
          <t>01/09/2025</t>
        </is>
      </c>
      <c r="G279" s="16" t="n">
        <v>5100309015</v>
      </c>
      <c r="H279" s="16" t="inlineStr">
        <is>
          <t>Factura Acrededor</t>
        </is>
      </c>
      <c r="I279" s="16" t="inlineStr">
        <is>
          <t>07/08/2025</t>
        </is>
      </c>
      <c r="J279" s="16" t="n">
        <v>0</v>
      </c>
      <c r="K279" s="17" t="n">
        <v>-9663513</v>
      </c>
      <c r="L279" s="16" t="inlineStr">
        <is>
          <t>Bucaramanga ZF</t>
        </is>
      </c>
      <c r="M279" s="16" t="inlineStr">
        <is>
          <t>UNILEVER ANDINA COLOMBIA LTDA/CONCILIACION</t>
        </is>
      </c>
      <c r="N279" s="18">
        <f>+H279&amp;" "&amp; E279</f>
        <v/>
      </c>
      <c r="O279" s="18" t="inlineStr">
        <is>
          <t>Cartera</t>
        </is>
      </c>
    </row>
    <row r="280">
      <c r="A280" s="16" t="n">
        <v>1681</v>
      </c>
      <c r="B280" s="16" t="inlineStr">
        <is>
          <t>Pagado</t>
        </is>
      </c>
      <c r="C280" s="16" t="n">
        <v>860002518</v>
      </c>
      <c r="D280" s="16" t="inlineStr">
        <is>
          <t>UNILEVER ANDINA COLOMBIA LTDA</t>
        </is>
      </c>
      <c r="E280" s="16" t="inlineStr">
        <is>
          <t>PMP1271669</t>
        </is>
      </c>
      <c r="F280" s="16" t="inlineStr">
        <is>
          <t>01/09/2025</t>
        </is>
      </c>
      <c r="G280" s="16" t="n">
        <v>5100309001</v>
      </c>
      <c r="H280" s="16" t="inlineStr">
        <is>
          <t>Reduc Factura Compra</t>
        </is>
      </c>
      <c r="I280" s="16" t="inlineStr">
        <is>
          <t>07/08/2025</t>
        </is>
      </c>
      <c r="J280" s="16" t="n">
        <v>0</v>
      </c>
      <c r="K280" s="17" t="n">
        <v>15890</v>
      </c>
      <c r="L280" s="16" t="inlineStr">
        <is>
          <t>Bucaramanga ZF</t>
        </is>
      </c>
      <c r="M280" s="16" t="inlineStr">
        <is>
          <t>UNILEVER ANDINA COLOMBIA LTDA/CONCILIACION</t>
        </is>
      </c>
      <c r="N280" s="18">
        <f>+H280&amp;" "&amp;E280</f>
        <v/>
      </c>
      <c r="O280" s="18" t="inlineStr">
        <is>
          <t>Ventas</t>
        </is>
      </c>
    </row>
    <row r="281">
      <c r="A281" s="16" t="n">
        <v>1682</v>
      </c>
      <c r="B281" s="16" t="inlineStr">
        <is>
          <t>Pagado</t>
        </is>
      </c>
      <c r="C281" s="16" t="n">
        <v>860002518</v>
      </c>
      <c r="D281" s="16" t="inlineStr">
        <is>
          <t>UNILEVER ANDINA COLOMBIA LTDA</t>
        </is>
      </c>
      <c r="E281" s="16" t="inlineStr">
        <is>
          <t>PMP1271669</t>
        </is>
      </c>
      <c r="F281" s="16" t="inlineStr">
        <is>
          <t>01/09/2025</t>
        </is>
      </c>
      <c r="G281" s="16" t="n">
        <v>5100309000</v>
      </c>
      <c r="H281" s="16" t="inlineStr">
        <is>
          <t>Factura Acrededor</t>
        </is>
      </c>
      <c r="I281" s="16" t="inlineStr">
        <is>
          <t>07/08/2025</t>
        </is>
      </c>
      <c r="J281" s="16" t="n">
        <v>0</v>
      </c>
      <c r="K281" s="17" t="n">
        <v>-17416038</v>
      </c>
      <c r="L281" s="16" t="inlineStr">
        <is>
          <t>Bucaramanga ZF</t>
        </is>
      </c>
      <c r="M281" s="16" t="inlineStr">
        <is>
          <t>UNILEVER ANDINA COLOMBIA LTDA/CONCILIACION</t>
        </is>
      </c>
      <c r="N281" s="18">
        <f>+H281&amp;" "&amp; E281</f>
        <v/>
      </c>
      <c r="O281" s="18" t="inlineStr">
        <is>
          <t>Cartera</t>
        </is>
      </c>
    </row>
    <row r="282">
      <c r="A282" s="16" t="n">
        <v>1686</v>
      </c>
      <c r="B282" s="16" t="inlineStr">
        <is>
          <t>Pagado</t>
        </is>
      </c>
      <c r="C282" s="16" t="n">
        <v>860002518</v>
      </c>
      <c r="D282" s="16" t="inlineStr">
        <is>
          <t>UNILEVER ANDINA COLOMBIA LTDA</t>
        </is>
      </c>
      <c r="E282" s="16" t="inlineStr">
        <is>
          <t>PMP1273113</t>
        </is>
      </c>
      <c r="F282" s="16" t="inlineStr">
        <is>
          <t>03/09/2025</t>
        </is>
      </c>
      <c r="G282" s="16" t="n">
        <v>5100314644</v>
      </c>
      <c r="H282" s="16" t="inlineStr">
        <is>
          <t>Factura Acrededor</t>
        </is>
      </c>
      <c r="I282" s="16" t="inlineStr">
        <is>
          <t>12/08/2025</t>
        </is>
      </c>
      <c r="J282" s="16" t="n">
        <v>0</v>
      </c>
      <c r="K282" s="17" t="n">
        <v>-1250352</v>
      </c>
      <c r="M282" s="16" t="inlineStr">
        <is>
          <t>UNILEVER ANDINA COLOMBIA LTDA</t>
        </is>
      </c>
      <c r="N282" s="18">
        <f>+H282&amp;" "&amp; E282</f>
        <v/>
      </c>
      <c r="O282" s="18" t="inlineStr">
        <is>
          <t>Cartera</t>
        </is>
      </c>
    </row>
    <row r="283">
      <c r="A283" s="16" t="n">
        <v>1687</v>
      </c>
      <c r="B283" s="16" t="inlineStr">
        <is>
          <t>Pagado</t>
        </is>
      </c>
      <c r="C283" s="16" t="n">
        <v>860002518</v>
      </c>
      <c r="D283" s="16" t="inlineStr">
        <is>
          <t>UNILEVER ANDINA COLOMBIA LTDA</t>
        </is>
      </c>
      <c r="E283" s="16" t="inlineStr">
        <is>
          <t>PMP1273116</t>
        </is>
      </c>
      <c r="F283" s="16" t="inlineStr">
        <is>
          <t>03/09/2025</t>
        </is>
      </c>
      <c r="G283" s="16" t="n">
        <v>5100314658</v>
      </c>
      <c r="H283" s="16" t="inlineStr">
        <is>
          <t>Factura Acrededor</t>
        </is>
      </c>
      <c r="I283" s="16" t="inlineStr">
        <is>
          <t>12/08/2025</t>
        </is>
      </c>
      <c r="J283" s="16" t="n">
        <v>0</v>
      </c>
      <c r="K283" s="17" t="n">
        <v>-34096737</v>
      </c>
      <c r="M283" s="16" t="inlineStr">
        <is>
          <t>UNILEVER ANDINA COLOMBIA LTDA/CONCILIACION</t>
        </is>
      </c>
      <c r="N283" s="18">
        <f>+H283&amp;" "&amp; E283</f>
        <v/>
      </c>
      <c r="O283" s="18" t="inlineStr">
        <is>
          <t>Cartera</t>
        </is>
      </c>
    </row>
    <row r="284">
      <c r="A284" s="16" t="n">
        <v>1688</v>
      </c>
      <c r="B284" s="16" t="inlineStr">
        <is>
          <t>Pagado</t>
        </is>
      </c>
      <c r="C284" s="16" t="n">
        <v>860002518</v>
      </c>
      <c r="D284" s="16" t="inlineStr">
        <is>
          <t>UNILEVER ANDINA COLOMBIA LTDA</t>
        </is>
      </c>
      <c r="E284" s="16" t="inlineStr">
        <is>
          <t>PMP1273116</t>
        </is>
      </c>
      <c r="F284" s="16" t="inlineStr">
        <is>
          <t>03/09/2025</t>
        </is>
      </c>
      <c r="G284" s="16" t="n">
        <v>5100314659</v>
      </c>
      <c r="H284" s="16" t="inlineStr">
        <is>
          <t>Reduc Factura Compra</t>
        </is>
      </c>
      <c r="I284" s="16" t="inlineStr">
        <is>
          <t>12/08/2025</t>
        </is>
      </c>
      <c r="J284" s="16" t="n">
        <v>0</v>
      </c>
      <c r="K284" s="17" t="n">
        <v>2332</v>
      </c>
      <c r="M284" s="16" t="inlineStr">
        <is>
          <t>UNILEVER ANDINA COLOMBIA LTDA/CONCILIACION</t>
        </is>
      </c>
      <c r="N284" s="18">
        <f>+H284&amp;" "&amp;E284</f>
        <v/>
      </c>
      <c r="O284" s="18" t="inlineStr">
        <is>
          <t>Ventas</t>
        </is>
      </c>
    </row>
    <row r="285">
      <c r="A285" s="16" t="n">
        <v>1690</v>
      </c>
      <c r="B285" s="16" t="inlineStr">
        <is>
          <t>Pagado</t>
        </is>
      </c>
      <c r="C285" s="16" t="n">
        <v>860002518</v>
      </c>
      <c r="D285" s="16" t="inlineStr">
        <is>
          <t>UNILEVER ANDINA COLOMBIA LTDA</t>
        </is>
      </c>
      <c r="E285" s="16" t="inlineStr">
        <is>
          <t>PMP1273874</t>
        </is>
      </c>
      <c r="F285" s="16" t="inlineStr">
        <is>
          <t>03/09/2025</t>
        </is>
      </c>
      <c r="G285" s="16" t="n">
        <v>5100316805</v>
      </c>
      <c r="H285" s="16" t="inlineStr">
        <is>
          <t>Factura Acrededor</t>
        </is>
      </c>
      <c r="I285" s="16" t="inlineStr">
        <is>
          <t>13/08/2025</t>
        </is>
      </c>
      <c r="J285" s="16" t="n">
        <v>0</v>
      </c>
      <c r="K285" s="17" t="n">
        <v>-12653050</v>
      </c>
      <c r="L285" s="16" t="inlineStr">
        <is>
          <t>Cota</t>
        </is>
      </c>
      <c r="M285" s="16" t="inlineStr">
        <is>
          <t>UNILEVER ANDINA COLOMBIA LTDA</t>
        </is>
      </c>
      <c r="N285" s="18">
        <f>+H285&amp;" "&amp; E285</f>
        <v/>
      </c>
      <c r="O285" s="18" t="inlineStr">
        <is>
          <t>Cartera</t>
        </is>
      </c>
    </row>
    <row r="286">
      <c r="A286" s="16" t="n">
        <v>1691</v>
      </c>
      <c r="B286" s="16" t="inlineStr">
        <is>
          <t>Pagado</t>
        </is>
      </c>
      <c r="C286" s="16" t="n">
        <v>860002518</v>
      </c>
      <c r="D286" s="16" t="inlineStr">
        <is>
          <t>UNILEVER ANDINA COLOMBIA LTDA</t>
        </is>
      </c>
      <c r="E286" s="16" t="inlineStr">
        <is>
          <t>PMP1273876</t>
        </is>
      </c>
      <c r="F286" s="16" t="inlineStr">
        <is>
          <t>03/09/2025</t>
        </is>
      </c>
      <c r="G286" s="16" t="n">
        <v>5100316832</v>
      </c>
      <c r="H286" s="16" t="inlineStr">
        <is>
          <t>Factura Acrededor</t>
        </is>
      </c>
      <c r="I286" s="16" t="inlineStr">
        <is>
          <t>13/08/2025</t>
        </is>
      </c>
      <c r="J286" s="16" t="n">
        <v>0</v>
      </c>
      <c r="K286" s="17" t="n">
        <v>-127732363</v>
      </c>
      <c r="L286" s="16" t="inlineStr">
        <is>
          <t>Cota</t>
        </is>
      </c>
      <c r="M286" s="16" t="inlineStr">
        <is>
          <t>UNILEVER ANDINA COLOMBIA LTDA // CONCILIACIÓN</t>
        </is>
      </c>
      <c r="N286" s="18">
        <f>+H286&amp;" "&amp; E286</f>
        <v/>
      </c>
      <c r="O286" s="18" t="inlineStr">
        <is>
          <t>Cartera</t>
        </is>
      </c>
    </row>
    <row r="287">
      <c r="A287" s="16" t="n">
        <v>1692</v>
      </c>
      <c r="B287" s="16" t="inlineStr">
        <is>
          <t>Pagado</t>
        </is>
      </c>
      <c r="C287" s="16" t="n">
        <v>860002518</v>
      </c>
      <c r="D287" s="16" t="inlineStr">
        <is>
          <t>UNILEVER ANDINA COLOMBIA LTDA</t>
        </is>
      </c>
      <c r="E287" s="16" t="inlineStr">
        <is>
          <t>PMP1273876</t>
        </is>
      </c>
      <c r="F287" s="16" t="inlineStr">
        <is>
          <t>03/09/2025</t>
        </is>
      </c>
      <c r="G287" s="16" t="n">
        <v>5100316833</v>
      </c>
      <c r="H287" s="16" t="inlineStr">
        <is>
          <t>Reduc Factura Compra</t>
        </is>
      </c>
      <c r="I287" s="16" t="inlineStr">
        <is>
          <t>13/08/2025</t>
        </is>
      </c>
      <c r="J287" s="16" t="n">
        <v>0</v>
      </c>
      <c r="K287" s="17" t="n">
        <v>9860</v>
      </c>
      <c r="L287" s="16" t="inlineStr">
        <is>
          <t>Cota</t>
        </is>
      </c>
      <c r="M287" s="16" t="inlineStr">
        <is>
          <t>UNILEVER ANDINA COLOMBIA LTDA // CONCILIACIÓN</t>
        </is>
      </c>
      <c r="N287" s="18">
        <f>+H287&amp;" "&amp;E287</f>
        <v/>
      </c>
      <c r="O287" s="18" t="inlineStr">
        <is>
          <t>Ventas</t>
        </is>
      </c>
    </row>
    <row r="288">
      <c r="A288" s="16" t="n">
        <v>1693</v>
      </c>
      <c r="B288" s="16" t="inlineStr">
        <is>
          <t>Pagado</t>
        </is>
      </c>
      <c r="C288" s="16" t="n">
        <v>860002518</v>
      </c>
      <c r="D288" s="16" t="inlineStr">
        <is>
          <t>UNILEVER ANDINA COLOMBIA LTDA</t>
        </is>
      </c>
      <c r="E288" s="16" t="inlineStr">
        <is>
          <t>PMP1273860</t>
        </is>
      </c>
      <c r="F288" s="16" t="inlineStr">
        <is>
          <t>05/09/2025</t>
        </is>
      </c>
      <c r="G288" s="16" t="n">
        <v>5100318993</v>
      </c>
      <c r="H288" s="16" t="inlineStr">
        <is>
          <t>Factura Acrededor</t>
        </is>
      </c>
      <c r="I288" s="16" t="inlineStr">
        <is>
          <t>13/08/2025</t>
        </is>
      </c>
      <c r="J288" s="16" t="n">
        <v>0</v>
      </c>
      <c r="K288" s="17" t="n">
        <v>-16083211</v>
      </c>
      <c r="L288" s="16" t="inlineStr">
        <is>
          <t>Cerritos</t>
        </is>
      </c>
      <c r="N288" s="18">
        <f>+H288&amp;" "&amp; E288</f>
        <v/>
      </c>
      <c r="O288" s="18" t="inlineStr">
        <is>
          <t>Cartera</t>
        </is>
      </c>
    </row>
    <row r="289">
      <c r="A289" s="16" t="n">
        <v>1695</v>
      </c>
      <c r="B289" s="16" t="inlineStr">
        <is>
          <t>Pagado</t>
        </is>
      </c>
      <c r="C289" s="16" t="n">
        <v>860002518</v>
      </c>
      <c r="D289" s="16" t="inlineStr">
        <is>
          <t>UNILEVER ANDINA COLOMBIA LTDA</t>
        </is>
      </c>
      <c r="E289" s="16" t="inlineStr">
        <is>
          <t>PMP1273597</t>
        </is>
      </c>
      <c r="F289" s="16" t="inlineStr">
        <is>
          <t>04/09/2025</t>
        </is>
      </c>
      <c r="G289" s="16" t="n">
        <v>5100318650</v>
      </c>
      <c r="H289" s="16" t="inlineStr">
        <is>
          <t>Factura Acrededor</t>
        </is>
      </c>
      <c r="I289" s="16" t="inlineStr">
        <is>
          <t>13/08/2025</t>
        </is>
      </c>
      <c r="J289" s="16" t="n">
        <v>0</v>
      </c>
      <c r="K289" s="17" t="n">
        <v>-3508463</v>
      </c>
      <c r="L289" s="16" t="inlineStr">
        <is>
          <t>Palmira</t>
        </is>
      </c>
      <c r="M289" s="16" t="inlineStr">
        <is>
          <t>UNILEVER ANDINA COLOMBIA LTDA</t>
        </is>
      </c>
      <c r="N289" s="18">
        <f>+H289&amp;" "&amp; E289</f>
        <v/>
      </c>
      <c r="O289" s="18" t="inlineStr">
        <is>
          <t>Cartera</t>
        </is>
      </c>
    </row>
    <row r="290">
      <c r="A290" s="16" t="n">
        <v>1696</v>
      </c>
      <c r="B290" s="16" t="inlineStr">
        <is>
          <t>Pagado</t>
        </is>
      </c>
      <c r="C290" s="16" t="n">
        <v>860002518</v>
      </c>
      <c r="D290" s="16" t="inlineStr">
        <is>
          <t>UNILEVER ANDINA COLOMBIA LTDA</t>
        </is>
      </c>
      <c r="E290" s="16" t="inlineStr">
        <is>
          <t>PMP1273595</t>
        </is>
      </c>
      <c r="F290" s="16" t="inlineStr">
        <is>
          <t>04/09/2025</t>
        </is>
      </c>
      <c r="G290" s="16" t="n">
        <v>5100318702</v>
      </c>
      <c r="H290" s="16" t="inlineStr">
        <is>
          <t>Reduc Factura Compra</t>
        </is>
      </c>
      <c r="I290" s="16" t="inlineStr">
        <is>
          <t>13/08/2025</t>
        </is>
      </c>
      <c r="J290" s="16" t="n">
        <v>0</v>
      </c>
      <c r="K290" s="17" t="n">
        <v>1098</v>
      </c>
      <c r="L290" s="16" t="inlineStr">
        <is>
          <t>Palmira</t>
        </is>
      </c>
      <c r="M290" s="16" t="inlineStr">
        <is>
          <t>UNILEVER ANDINA COLOMBIA LTDA</t>
        </is>
      </c>
      <c r="N290" s="18">
        <f>+H290&amp;" "&amp;E290</f>
        <v/>
      </c>
      <c r="O290" s="18" t="inlineStr">
        <is>
          <t>Ventas</t>
        </is>
      </c>
    </row>
    <row r="291">
      <c r="A291" s="16" t="n">
        <v>1697</v>
      </c>
      <c r="B291" s="16" t="inlineStr">
        <is>
          <t>Pagado</t>
        </is>
      </c>
      <c r="C291" s="16" t="n">
        <v>860002518</v>
      </c>
      <c r="D291" s="16" t="inlineStr">
        <is>
          <t>UNILEVER ANDINA COLOMBIA LTDA</t>
        </is>
      </c>
      <c r="E291" s="16" t="inlineStr">
        <is>
          <t>PMP1273595</t>
        </is>
      </c>
      <c r="F291" s="16" t="inlineStr">
        <is>
          <t>04/09/2025</t>
        </is>
      </c>
      <c r="G291" s="16" t="n">
        <v>5100318701</v>
      </c>
      <c r="H291" s="16" t="inlineStr">
        <is>
          <t>Factura Acrededor</t>
        </is>
      </c>
      <c r="I291" s="16" t="inlineStr">
        <is>
          <t>13/08/2025</t>
        </is>
      </c>
      <c r="J291" s="16" t="n">
        <v>0</v>
      </c>
      <c r="K291" s="17" t="n">
        <v>-24210626</v>
      </c>
      <c r="L291" s="16" t="inlineStr">
        <is>
          <t>Palmira</t>
        </is>
      </c>
      <c r="M291" s="16" t="inlineStr">
        <is>
          <t>UNILEVER ANDINA COLOMBIA LTDA</t>
        </is>
      </c>
      <c r="N291" s="18">
        <f>+H291&amp;" "&amp; E291</f>
        <v/>
      </c>
      <c r="O291" s="18" t="inlineStr">
        <is>
          <t>Cartera</t>
        </is>
      </c>
    </row>
    <row r="292">
      <c r="A292" s="16" t="n">
        <v>1699</v>
      </c>
      <c r="B292" s="16" t="inlineStr">
        <is>
          <t>Pagado</t>
        </is>
      </c>
      <c r="C292" s="16" t="n">
        <v>860002518</v>
      </c>
      <c r="D292" s="16" t="inlineStr">
        <is>
          <t>UNILEVER ANDINA COLOMBIA LTDA</t>
        </is>
      </c>
      <c r="E292" s="16" t="inlineStr">
        <is>
          <t>PMP1273859</t>
        </is>
      </c>
      <c r="F292" s="16" t="inlineStr">
        <is>
          <t>08/09/2025</t>
        </is>
      </c>
      <c r="G292" s="16" t="n">
        <v>5100320034</v>
      </c>
      <c r="H292" s="16" t="inlineStr">
        <is>
          <t>Factura Acrededor</t>
        </is>
      </c>
      <c r="I292" s="16" t="inlineStr">
        <is>
          <t>13/08/2025</t>
        </is>
      </c>
      <c r="J292" s="16" t="n">
        <v>0</v>
      </c>
      <c r="K292" s="17" t="n">
        <v>-1170097</v>
      </c>
      <c r="L292" s="16" t="inlineStr">
        <is>
          <t>Cerritos</t>
        </is>
      </c>
      <c r="N292" s="18">
        <f>+H292&amp;" "&amp; E292</f>
        <v/>
      </c>
      <c r="O292" s="18" t="inlineStr">
        <is>
          <t>Cartera</t>
        </is>
      </c>
    </row>
    <row r="293">
      <c r="A293" s="16" t="n">
        <v>1700</v>
      </c>
      <c r="B293" s="16" t="inlineStr">
        <is>
          <t>Pagado</t>
        </is>
      </c>
      <c r="C293" s="16" t="n">
        <v>860002518</v>
      </c>
      <c r="D293" s="16" t="inlineStr">
        <is>
          <t>UNILEVER ANDINA COLOMBIA LTDA</t>
        </is>
      </c>
      <c r="E293" s="16" t="inlineStr">
        <is>
          <t>PMP1273387</t>
        </is>
      </c>
      <c r="F293" s="16" t="inlineStr">
        <is>
          <t>08/09/2025</t>
        </is>
      </c>
      <c r="G293" s="16" t="n">
        <v>5100320768</v>
      </c>
      <c r="H293" s="16" t="inlineStr">
        <is>
          <t>Factura Acrededor</t>
        </is>
      </c>
      <c r="I293" s="16" t="inlineStr">
        <is>
          <t>11/08/2025</t>
        </is>
      </c>
      <c r="J293" s="16" t="n">
        <v>0</v>
      </c>
      <c r="K293" s="17" t="n">
        <v>-2852740</v>
      </c>
      <c r="L293" s="16" t="inlineStr">
        <is>
          <t>Barranquilla</t>
        </is>
      </c>
      <c r="M293" s="16" t="inlineStr">
        <is>
          <t>UNILEVER ANDINA COLOMBIA LTDA</t>
        </is>
      </c>
      <c r="N293" s="18">
        <f>+H293&amp;" "&amp; E293</f>
        <v/>
      </c>
      <c r="O293" s="18" t="inlineStr">
        <is>
          <t>Cartera</t>
        </is>
      </c>
    </row>
    <row r="294">
      <c r="A294" s="16" t="n">
        <v>1701</v>
      </c>
      <c r="B294" s="16" t="inlineStr">
        <is>
          <t>Pagado</t>
        </is>
      </c>
      <c r="C294" s="16" t="n">
        <v>860002518</v>
      </c>
      <c r="D294" s="16" t="inlineStr">
        <is>
          <t>UNILEVER ANDINA COLOMBIA LTDA</t>
        </is>
      </c>
      <c r="E294" s="16" t="inlineStr">
        <is>
          <t>PMP1273859</t>
        </is>
      </c>
      <c r="F294" s="16" t="inlineStr">
        <is>
          <t>08/09/2025</t>
        </is>
      </c>
      <c r="G294" s="16" t="n">
        <v>5100320035</v>
      </c>
      <c r="H294" s="16" t="inlineStr">
        <is>
          <t>Reduc Factura Compra</t>
        </is>
      </c>
      <c r="I294" s="16" t="inlineStr">
        <is>
          <t>13/08/2025</t>
        </is>
      </c>
      <c r="J294" s="16" t="n">
        <v>0</v>
      </c>
      <c r="K294" s="17" t="n">
        <v>236208</v>
      </c>
      <c r="L294" s="16" t="inlineStr">
        <is>
          <t>Cerritos</t>
        </is>
      </c>
      <c r="N294" s="18">
        <f>+H294&amp;" "&amp;E294</f>
        <v/>
      </c>
      <c r="O294" s="18" t="inlineStr">
        <is>
          <t>Ventas</t>
        </is>
      </c>
    </row>
    <row r="295">
      <c r="A295" s="16" t="n">
        <v>1702</v>
      </c>
      <c r="B295" s="16" t="inlineStr">
        <is>
          <t>Pagado</t>
        </is>
      </c>
      <c r="C295" s="16" t="n">
        <v>860002518</v>
      </c>
      <c r="D295" s="16" t="inlineStr">
        <is>
          <t>UNILEVER ANDINA COLOMBIA LTDA</t>
        </is>
      </c>
      <c r="E295" s="16" t="inlineStr">
        <is>
          <t>PMP1273387</t>
        </is>
      </c>
      <c r="F295" s="16" t="inlineStr">
        <is>
          <t>08/09/2025</t>
        </is>
      </c>
      <c r="G295" s="16" t="n">
        <v>5100320769</v>
      </c>
      <c r="H295" s="16" t="inlineStr">
        <is>
          <t>Reduc Factura Compra</t>
        </is>
      </c>
      <c r="I295" s="16" t="inlineStr">
        <is>
          <t>11/08/2025</t>
        </is>
      </c>
      <c r="J295" s="16" t="n">
        <v>0</v>
      </c>
      <c r="K295" s="17" t="n">
        <v>191062</v>
      </c>
      <c r="L295" s="16" t="inlineStr">
        <is>
          <t>Barranquilla</t>
        </is>
      </c>
      <c r="M295" s="16" t="inlineStr">
        <is>
          <t>UNILEVER ANDINA COLOMBIA LTDA</t>
        </is>
      </c>
      <c r="N295" s="18">
        <f>+H295&amp;" "&amp;E295</f>
        <v/>
      </c>
      <c r="O295" s="18" t="inlineStr">
        <is>
          <t>Ventas</t>
        </is>
      </c>
    </row>
    <row r="296">
      <c r="A296" s="16" t="n">
        <v>1703</v>
      </c>
      <c r="B296" s="16" t="inlineStr">
        <is>
          <t>Pagado</t>
        </is>
      </c>
      <c r="C296" s="16" t="n">
        <v>860002518</v>
      </c>
      <c r="D296" s="16" t="inlineStr">
        <is>
          <t>UNILEVER ANDINA COLOMBIA LTDA</t>
        </is>
      </c>
      <c r="E296" s="16" t="inlineStr">
        <is>
          <t>PMP1273384</t>
        </is>
      </c>
      <c r="F296" s="16" t="inlineStr">
        <is>
          <t>08/09/2025</t>
        </is>
      </c>
      <c r="G296" s="16" t="n">
        <v>5100321001</v>
      </c>
      <c r="H296" s="16" t="inlineStr">
        <is>
          <t>Factura Acrededor</t>
        </is>
      </c>
      <c r="I296" s="16" t="inlineStr">
        <is>
          <t>11/08/2025</t>
        </is>
      </c>
      <c r="J296" s="16" t="n">
        <v>0</v>
      </c>
      <c r="K296" s="17" t="n">
        <v>-24381931</v>
      </c>
      <c r="L296" s="16" t="inlineStr">
        <is>
          <t>Barranquilla</t>
        </is>
      </c>
      <c r="M296" s="16" t="inlineStr">
        <is>
          <t>UNILEVER ANDINA COLOMBIA LTDA</t>
        </is>
      </c>
      <c r="N296" s="18">
        <f>+H296&amp;" "&amp; E296</f>
        <v/>
      </c>
      <c r="O296" s="18" t="inlineStr">
        <is>
          <t>Cartera</t>
        </is>
      </c>
    </row>
    <row r="297">
      <c r="A297" s="16" t="n">
        <v>1704</v>
      </c>
      <c r="B297" s="16" t="inlineStr">
        <is>
          <t>Pagado</t>
        </is>
      </c>
      <c r="C297" s="16" t="n">
        <v>860002518</v>
      </c>
      <c r="D297" s="16" t="inlineStr">
        <is>
          <t>UNILEVER ANDINA COLOMBIA LTDA</t>
        </is>
      </c>
      <c r="E297" s="16" t="inlineStr">
        <is>
          <t>PMP1273384</t>
        </is>
      </c>
      <c r="F297" s="16" t="inlineStr">
        <is>
          <t>08/09/2025</t>
        </is>
      </c>
      <c r="G297" s="16" t="n">
        <v>5100321002</v>
      </c>
      <c r="H297" s="16" t="inlineStr">
        <is>
          <t>Reduc Factura Compra</t>
        </is>
      </c>
      <c r="I297" s="16" t="inlineStr">
        <is>
          <t>11/08/2025</t>
        </is>
      </c>
      <c r="J297" s="16" t="n">
        <v>0</v>
      </c>
      <c r="K297" s="17" t="n">
        <v>244644</v>
      </c>
      <c r="L297" s="16" t="inlineStr">
        <is>
          <t>Barranquilla</t>
        </is>
      </c>
      <c r="M297" s="16" t="inlineStr">
        <is>
          <t>UNILEVER ANDINA COLOMBIA LTDA</t>
        </is>
      </c>
      <c r="N297" s="18">
        <f>+H297&amp;" "&amp;E297</f>
        <v/>
      </c>
      <c r="O297" s="18" t="inlineStr">
        <is>
          <t>Ventas</t>
        </is>
      </c>
    </row>
    <row r="298">
      <c r="A298" s="16" t="n">
        <v>1705</v>
      </c>
      <c r="B298" s="16" t="inlineStr">
        <is>
          <t>Pagado</t>
        </is>
      </c>
      <c r="C298" s="16" t="n">
        <v>860002518</v>
      </c>
      <c r="D298" s="16" t="inlineStr">
        <is>
          <t>UNILEVER ANDINA COLOMBIA LTDA</t>
        </is>
      </c>
      <c r="E298" s="16" t="inlineStr">
        <is>
          <t>PMP1274134</t>
        </is>
      </c>
      <c r="F298" s="16" t="inlineStr">
        <is>
          <t>08/09/2025</t>
        </is>
      </c>
      <c r="G298" s="16" t="n">
        <v>5100321182</v>
      </c>
      <c r="H298" s="16" t="inlineStr">
        <is>
          <t>Factura Acrededor</t>
        </is>
      </c>
      <c r="I298" s="16" t="inlineStr">
        <is>
          <t>11/08/2025</t>
        </is>
      </c>
      <c r="J298" s="16" t="n">
        <v>0</v>
      </c>
      <c r="K298" s="17" t="n">
        <v>-263568</v>
      </c>
      <c r="L298" s="16" t="inlineStr">
        <is>
          <t>Bucaramanga ZF</t>
        </is>
      </c>
      <c r="M298" s="16" t="inlineStr">
        <is>
          <t>UNILEVER ANDINA COLOMBIA LTDA</t>
        </is>
      </c>
      <c r="N298" s="18">
        <f>+H298&amp;" "&amp; E298</f>
        <v/>
      </c>
      <c r="O298" s="18" t="inlineStr">
        <is>
          <t>Cartera</t>
        </is>
      </c>
    </row>
    <row r="299">
      <c r="A299" s="16" t="n">
        <v>1706</v>
      </c>
      <c r="B299" s="16" t="inlineStr">
        <is>
          <t>Pagado</t>
        </is>
      </c>
      <c r="C299" s="16" t="n">
        <v>860002518</v>
      </c>
      <c r="D299" s="16" t="inlineStr">
        <is>
          <t>UNILEVER ANDINA COLOMBIA LTDA</t>
        </is>
      </c>
      <c r="E299" s="16" t="inlineStr">
        <is>
          <t>PMP1274136</t>
        </is>
      </c>
      <c r="F299" s="16" t="inlineStr">
        <is>
          <t>08/09/2025</t>
        </is>
      </c>
      <c r="G299" s="16" t="n">
        <v>5100321189</v>
      </c>
      <c r="H299" s="16" t="inlineStr">
        <is>
          <t>Factura Acrededor</t>
        </is>
      </c>
      <c r="I299" s="16" t="inlineStr">
        <is>
          <t>11/08/2025</t>
        </is>
      </c>
      <c r="J299" s="16" t="n">
        <v>0</v>
      </c>
      <c r="K299" s="17" t="n">
        <v>-4803750</v>
      </c>
      <c r="L299" s="16" t="inlineStr">
        <is>
          <t>Bucaramanga ZF</t>
        </is>
      </c>
      <c r="M299" s="16" t="inlineStr">
        <is>
          <t>UNILEVER ANDINA COLOMBIA LTDA</t>
        </is>
      </c>
      <c r="N299" s="18">
        <f>+H299&amp;" "&amp; E299</f>
        <v/>
      </c>
      <c r="O299" s="18" t="inlineStr">
        <is>
          <t>Cartera</t>
        </is>
      </c>
    </row>
    <row r="300">
      <c r="A300" s="16" t="n">
        <v>1712</v>
      </c>
      <c r="B300" s="16" t="inlineStr">
        <is>
          <t>Pagado</t>
        </is>
      </c>
      <c r="C300" s="16" t="n">
        <v>860002518</v>
      </c>
      <c r="D300" s="16" t="inlineStr">
        <is>
          <t>UNILEVER ANDINA COLOMBIA LTDA</t>
        </is>
      </c>
      <c r="E300" s="16" t="inlineStr">
        <is>
          <t>PMP1277203</t>
        </is>
      </c>
      <c r="F300" s="16" t="inlineStr">
        <is>
          <t>11/09/2025</t>
        </is>
      </c>
      <c r="G300" s="16" t="n">
        <v>5100328562</v>
      </c>
      <c r="H300" s="16" t="inlineStr">
        <is>
          <t>Reduc Factura Compra</t>
        </is>
      </c>
      <c r="I300" s="16" t="inlineStr">
        <is>
          <t>22/08/2025</t>
        </is>
      </c>
      <c r="J300" s="16" t="n">
        <v>0</v>
      </c>
      <c r="K300" s="17" t="n">
        <v>203312</v>
      </c>
      <c r="L300" s="16" t="inlineStr">
        <is>
          <t>Palmira</t>
        </is>
      </c>
      <c r="M300" s="16" t="inlineStr">
        <is>
          <t>UNILEVER ANDINA COLOMBIA LTDA</t>
        </is>
      </c>
      <c r="N300" s="18">
        <f>+H300&amp;" "&amp;E300</f>
        <v/>
      </c>
      <c r="O300" s="18" t="inlineStr">
        <is>
          <t>Ventas</t>
        </is>
      </c>
    </row>
    <row r="301">
      <c r="A301" s="16" t="n">
        <v>1713</v>
      </c>
      <c r="B301" s="16" t="inlineStr">
        <is>
          <t>Pagado</t>
        </is>
      </c>
      <c r="C301" s="16" t="n">
        <v>860002518</v>
      </c>
      <c r="D301" s="16" t="inlineStr">
        <is>
          <t>UNILEVER ANDINA COLOMBIA LTDA</t>
        </is>
      </c>
      <c r="E301" s="16" t="inlineStr">
        <is>
          <t>PMP1277203</t>
        </is>
      </c>
      <c r="F301" s="16" t="inlineStr">
        <is>
          <t>11/09/2025</t>
        </is>
      </c>
      <c r="G301" s="16" t="n">
        <v>5100328561</v>
      </c>
      <c r="H301" s="16" t="inlineStr">
        <is>
          <t>Factura Acrededor</t>
        </is>
      </c>
      <c r="I301" s="16" t="inlineStr">
        <is>
          <t>22/08/2025</t>
        </is>
      </c>
      <c r="J301" s="16" t="n">
        <v>0</v>
      </c>
      <c r="K301" s="17" t="n">
        <v>-68599803</v>
      </c>
      <c r="L301" s="16" t="inlineStr">
        <is>
          <t>Palmira</t>
        </is>
      </c>
      <c r="M301" s="16" t="inlineStr">
        <is>
          <t>UNILEVER ANDINA COLOMBIA LTDA</t>
        </is>
      </c>
      <c r="N301" s="18">
        <f>+H301&amp;" "&amp; E301</f>
        <v/>
      </c>
      <c r="O301" s="18" t="inlineStr">
        <is>
          <t>Cartera</t>
        </is>
      </c>
    </row>
    <row r="302">
      <c r="A302" s="16" t="n">
        <v>1714</v>
      </c>
      <c r="B302" s="16" t="inlineStr">
        <is>
          <t>Pagado</t>
        </is>
      </c>
      <c r="C302" s="16" t="n">
        <v>860002518</v>
      </c>
      <c r="D302" s="16" t="inlineStr">
        <is>
          <t>UNILEVER ANDINA COLOMBIA LTDA</t>
        </is>
      </c>
      <c r="E302" s="16" t="inlineStr">
        <is>
          <t>PMP1277206</t>
        </is>
      </c>
      <c r="F302" s="16" t="inlineStr">
        <is>
          <t>11/09/2025</t>
        </is>
      </c>
      <c r="G302" s="16" t="n">
        <v>5100327557</v>
      </c>
      <c r="H302" s="16" t="inlineStr">
        <is>
          <t>Factura Acrededor</t>
        </is>
      </c>
      <c r="I302" s="16" t="inlineStr">
        <is>
          <t>22/08/2025</t>
        </is>
      </c>
      <c r="J302" s="16" t="n">
        <v>0</v>
      </c>
      <c r="K302" s="17" t="n">
        <v>-1564079</v>
      </c>
      <c r="L302" s="16" t="inlineStr">
        <is>
          <t>Palmira</t>
        </is>
      </c>
      <c r="M302" s="16" t="inlineStr">
        <is>
          <t>UNILEVER ANDINA COLOMBIA LTDA</t>
        </is>
      </c>
      <c r="N302" s="18">
        <f>+H302&amp;" "&amp; E302</f>
        <v/>
      </c>
      <c r="O302" s="18" t="inlineStr">
        <is>
          <t>Cartera</t>
        </is>
      </c>
    </row>
    <row r="303">
      <c r="A303" s="16" t="n">
        <v>1717</v>
      </c>
      <c r="B303" s="16" t="inlineStr">
        <is>
          <t>Pagado</t>
        </is>
      </c>
      <c r="C303" s="16" t="n">
        <v>860002518</v>
      </c>
      <c r="D303" s="16" t="inlineStr">
        <is>
          <t>UNILEVER ANDINA COLOMBIA LTDA</t>
        </is>
      </c>
      <c r="E303" s="16" t="inlineStr">
        <is>
          <t>PMP1277208</t>
        </is>
      </c>
      <c r="F303" s="16" t="inlineStr">
        <is>
          <t>11/09/2025</t>
        </is>
      </c>
      <c r="G303" s="16" t="n">
        <v>5100330821</v>
      </c>
      <c r="H303" s="16" t="inlineStr">
        <is>
          <t>Factura Acrededor</t>
        </is>
      </c>
      <c r="I303" s="16" t="inlineStr">
        <is>
          <t>22/08/2025</t>
        </is>
      </c>
      <c r="J303" s="16" t="n">
        <v>0</v>
      </c>
      <c r="K303" s="17" t="n">
        <v>-78132541</v>
      </c>
      <c r="L303" s="16" t="inlineStr">
        <is>
          <t>Palmira</t>
        </is>
      </c>
      <c r="M303" s="16" t="inlineStr">
        <is>
          <t>UNILEVER ANDINA COLOMBIA LTDA</t>
        </is>
      </c>
      <c r="N303" s="18">
        <f>+H303&amp;" "&amp; E303</f>
        <v/>
      </c>
      <c r="O303" s="18" t="inlineStr">
        <is>
          <t>Cartera</t>
        </is>
      </c>
    </row>
    <row r="304">
      <c r="A304" s="16" t="n">
        <v>1718</v>
      </c>
      <c r="B304" s="16" t="inlineStr">
        <is>
          <t>Pagado</t>
        </is>
      </c>
      <c r="C304" s="16" t="n">
        <v>860002518</v>
      </c>
      <c r="D304" s="16" t="inlineStr">
        <is>
          <t>UNILEVER ANDINA COLOMBIA LTDA</t>
        </is>
      </c>
      <c r="E304" s="16" t="inlineStr">
        <is>
          <t>PMP1277208</t>
        </is>
      </c>
      <c r="F304" s="16" t="inlineStr">
        <is>
          <t>11/09/2025</t>
        </is>
      </c>
      <c r="G304" s="16" t="n">
        <v>5100330822</v>
      </c>
      <c r="H304" s="16" t="inlineStr">
        <is>
          <t>Reduc Factura Compra</t>
        </is>
      </c>
      <c r="I304" s="16" t="inlineStr">
        <is>
          <t>22/08/2025</t>
        </is>
      </c>
      <c r="J304" s="16" t="n">
        <v>0</v>
      </c>
      <c r="K304" s="17" t="n">
        <v>550068</v>
      </c>
      <c r="L304" s="16" t="inlineStr">
        <is>
          <t>Palmira</t>
        </is>
      </c>
      <c r="M304" s="16" t="inlineStr">
        <is>
          <t>UNILEVER ANDINA COLOMBIA LTDA</t>
        </is>
      </c>
      <c r="N304" s="18">
        <f>+H304&amp;" "&amp;E304</f>
        <v/>
      </c>
      <c r="O304" s="18" t="inlineStr">
        <is>
          <t>Ventas</t>
        </is>
      </c>
    </row>
    <row r="305">
      <c r="A305" s="16" t="n">
        <v>1719</v>
      </c>
      <c r="B305" s="16" t="inlineStr">
        <is>
          <t>Pagado</t>
        </is>
      </c>
      <c r="C305" s="16" t="n">
        <v>860002518</v>
      </c>
      <c r="D305" s="16" t="inlineStr">
        <is>
          <t>UNILEVER ANDINA COLOMBIA LTDA</t>
        </is>
      </c>
      <c r="E305" s="16" t="inlineStr">
        <is>
          <t>PMP1276666</t>
        </is>
      </c>
      <c r="F305" s="16" t="inlineStr">
        <is>
          <t>12/09/2025</t>
        </is>
      </c>
      <c r="G305" s="16" t="n">
        <v>5100335919</v>
      </c>
      <c r="H305" s="16" t="inlineStr">
        <is>
          <t>Factura Acrededor</t>
        </is>
      </c>
      <c r="I305" s="16" t="inlineStr">
        <is>
          <t>20/08/2025</t>
        </is>
      </c>
      <c r="J305" s="16" t="n">
        <v>0</v>
      </c>
      <c r="K305" s="17" t="n">
        <v>-64246828</v>
      </c>
      <c r="L305" s="16" t="inlineStr">
        <is>
          <t>Cerritos</t>
        </is>
      </c>
      <c r="N305" s="18">
        <f>+H305&amp;" "&amp; E305</f>
        <v/>
      </c>
      <c r="O305" s="18" t="inlineStr">
        <is>
          <t>Cartera</t>
        </is>
      </c>
    </row>
    <row r="306">
      <c r="A306" s="16" t="n">
        <v>1720</v>
      </c>
      <c r="B306" s="16" t="inlineStr">
        <is>
          <t>Pagado</t>
        </is>
      </c>
      <c r="C306" s="16" t="n">
        <v>860002518</v>
      </c>
      <c r="D306" s="16" t="inlineStr">
        <is>
          <t>UNILEVER ANDINA COLOMBIA LTDA</t>
        </is>
      </c>
      <c r="E306" s="16" t="inlineStr">
        <is>
          <t>PMP1276666</t>
        </is>
      </c>
      <c r="F306" s="16" t="inlineStr">
        <is>
          <t>12/09/2025</t>
        </is>
      </c>
      <c r="G306" s="16" t="n">
        <v>5100335920</v>
      </c>
      <c r="H306" s="16" t="inlineStr">
        <is>
          <t>Reduc Factura Compra</t>
        </is>
      </c>
      <c r="I306" s="16" t="inlineStr">
        <is>
          <t>20/08/2025</t>
        </is>
      </c>
      <c r="J306" s="16" t="n">
        <v>0</v>
      </c>
      <c r="K306" s="17" t="n">
        <v>116211</v>
      </c>
      <c r="L306" s="16" t="inlineStr">
        <is>
          <t>Cerritos</t>
        </is>
      </c>
      <c r="N306" s="18">
        <f>+H306&amp;" "&amp;E306</f>
        <v/>
      </c>
      <c r="O306" s="18" t="inlineStr">
        <is>
          <t>Ventas</t>
        </is>
      </c>
    </row>
    <row r="307">
      <c r="A307" s="16" t="n">
        <v>1721</v>
      </c>
      <c r="B307" s="16" t="inlineStr">
        <is>
          <t>Pagado</t>
        </is>
      </c>
      <c r="C307" s="16" t="n">
        <v>860002518</v>
      </c>
      <c r="D307" s="16" t="inlineStr">
        <is>
          <t>UNILEVER ANDINA COLOMBIA LTDA</t>
        </is>
      </c>
      <c r="E307" s="16" t="inlineStr">
        <is>
          <t>PMP1276672</t>
        </is>
      </c>
      <c r="F307" s="16" t="inlineStr">
        <is>
          <t>12/09/2025</t>
        </is>
      </c>
      <c r="G307" s="16" t="n">
        <v>5100335922</v>
      </c>
      <c r="H307" s="16" t="inlineStr">
        <is>
          <t>Factura Acrededor</t>
        </is>
      </c>
      <c r="I307" s="16" t="inlineStr">
        <is>
          <t>20/08/2025</t>
        </is>
      </c>
      <c r="J307" s="16" t="n">
        <v>0</v>
      </c>
      <c r="K307" s="17" t="n">
        <v>-223440</v>
      </c>
      <c r="L307" s="16" t="inlineStr">
        <is>
          <t>Cerritos</t>
        </is>
      </c>
      <c r="N307" s="18">
        <f>+H307&amp;" "&amp; E307</f>
        <v/>
      </c>
      <c r="O307" s="18" t="inlineStr">
        <is>
          <t>Cartera</t>
        </is>
      </c>
    </row>
    <row r="308">
      <c r="A308" s="16" t="n">
        <v>1722</v>
      </c>
      <c r="B308" s="16" t="inlineStr">
        <is>
          <t>Pagado</t>
        </is>
      </c>
      <c r="C308" s="16" t="n">
        <v>860002518</v>
      </c>
      <c r="D308" s="16" t="inlineStr">
        <is>
          <t>UNILEVER ANDINA COLOMBIA LTDA</t>
        </is>
      </c>
      <c r="E308" s="16" t="inlineStr">
        <is>
          <t>PMP1276673</t>
        </is>
      </c>
      <c r="F308" s="16" t="inlineStr">
        <is>
          <t>12/09/2025</t>
        </is>
      </c>
      <c r="G308" s="16" t="n">
        <v>5100335926</v>
      </c>
      <c r="H308" s="16" t="inlineStr">
        <is>
          <t>Factura Acrededor</t>
        </is>
      </c>
      <c r="I308" s="16" t="inlineStr">
        <is>
          <t>20/08/2025</t>
        </is>
      </c>
      <c r="J308" s="16" t="n">
        <v>0</v>
      </c>
      <c r="K308" s="17" t="n">
        <v>-2457840</v>
      </c>
      <c r="L308" s="16" t="inlineStr">
        <is>
          <t>Cerritos</t>
        </is>
      </c>
      <c r="N308" s="18">
        <f>+H308&amp;" "&amp; E308</f>
        <v/>
      </c>
      <c r="O308" s="18" t="inlineStr">
        <is>
          <t>Cartera</t>
        </is>
      </c>
    </row>
    <row r="309">
      <c r="A309" s="16" t="n">
        <v>1723</v>
      </c>
      <c r="B309" s="16" t="inlineStr">
        <is>
          <t>Pagado</t>
        </is>
      </c>
      <c r="C309" s="16" t="n">
        <v>860002518</v>
      </c>
      <c r="D309" s="16" t="inlineStr">
        <is>
          <t>UNILEVER ANDINA COLOMBIA LTDA</t>
        </is>
      </c>
      <c r="E309" s="16" t="inlineStr">
        <is>
          <t>PMP1276668</t>
        </is>
      </c>
      <c r="F309" s="16" t="inlineStr">
        <is>
          <t>12/09/2025</t>
        </is>
      </c>
      <c r="G309" s="16" t="n">
        <v>5100335951</v>
      </c>
      <c r="H309" s="16" t="inlineStr">
        <is>
          <t>Factura Acrededor</t>
        </is>
      </c>
      <c r="I309" s="16" t="inlineStr">
        <is>
          <t>20/08/2025</t>
        </is>
      </c>
      <c r="J309" s="16" t="n">
        <v>0</v>
      </c>
      <c r="K309" s="17" t="n">
        <v>-65729254</v>
      </c>
      <c r="L309" s="16" t="inlineStr">
        <is>
          <t>Cerritos</t>
        </is>
      </c>
      <c r="N309" s="18">
        <f>+H309&amp;" "&amp; E309</f>
        <v/>
      </c>
      <c r="O309" s="18" t="inlineStr">
        <is>
          <t>Cartera</t>
        </is>
      </c>
    </row>
    <row r="310">
      <c r="A310" s="16" t="n">
        <v>1724</v>
      </c>
      <c r="B310" s="16" t="inlineStr">
        <is>
          <t>Pagado</t>
        </is>
      </c>
      <c r="C310" s="16" t="n">
        <v>860002518</v>
      </c>
      <c r="D310" s="16" t="inlineStr">
        <is>
          <t>UNILEVER ANDINA COLOMBIA LTDA</t>
        </is>
      </c>
      <c r="E310" s="16" t="inlineStr">
        <is>
          <t>PMP1276668</t>
        </is>
      </c>
      <c r="F310" s="16" t="inlineStr">
        <is>
          <t>12/09/2025</t>
        </is>
      </c>
      <c r="G310" s="16" t="n">
        <v>5100335952</v>
      </c>
      <c r="H310" s="16" t="inlineStr">
        <is>
          <t>Reduc Factura Compra</t>
        </is>
      </c>
      <c r="I310" s="16" t="inlineStr">
        <is>
          <t>20/08/2025</t>
        </is>
      </c>
      <c r="J310" s="16" t="n">
        <v>0</v>
      </c>
      <c r="K310" s="17" t="n">
        <v>338713</v>
      </c>
      <c r="L310" s="16" t="inlineStr">
        <is>
          <t>Cerritos</t>
        </is>
      </c>
      <c r="N310" s="18">
        <f>+H310&amp;" "&amp;E310</f>
        <v/>
      </c>
      <c r="O310" s="18" t="inlineStr">
        <is>
          <t>Ventas</t>
        </is>
      </c>
    </row>
    <row r="311">
      <c r="A311" s="16" t="n">
        <v>1726</v>
      </c>
      <c r="B311" s="16" t="inlineStr">
        <is>
          <t>Pagado</t>
        </is>
      </c>
      <c r="C311" s="16" t="n">
        <v>860002518</v>
      </c>
      <c r="D311" s="16" t="inlineStr">
        <is>
          <t>UNILEVER ANDINA COLOMBIA LTDA</t>
        </is>
      </c>
      <c r="E311" s="16" t="inlineStr">
        <is>
          <t>PMP1277145</t>
        </is>
      </c>
      <c r="F311" s="16" t="inlineStr">
        <is>
          <t>12/09/2025</t>
        </is>
      </c>
      <c r="G311" s="16" t="n">
        <v>5100337144</v>
      </c>
      <c r="H311" s="16" t="inlineStr">
        <is>
          <t>Factura Acrededor</t>
        </is>
      </c>
      <c r="I311" s="16" t="inlineStr">
        <is>
          <t>21/08/2025</t>
        </is>
      </c>
      <c r="J311" s="16" t="n">
        <v>0</v>
      </c>
      <c r="K311" s="17" t="n">
        <v>-11842275</v>
      </c>
      <c r="L311" s="16" t="inlineStr">
        <is>
          <t>Cota</t>
        </is>
      </c>
      <c r="M311" s="16" t="inlineStr">
        <is>
          <t>UNILEVER ANDINA COLOMBIA LTDA</t>
        </is>
      </c>
      <c r="N311" s="18">
        <f>+H311&amp;" "&amp; E311</f>
        <v/>
      </c>
      <c r="O311" s="18" t="inlineStr">
        <is>
          <t>Cartera</t>
        </is>
      </c>
    </row>
    <row r="312">
      <c r="A312" s="16" t="n">
        <v>1727</v>
      </c>
      <c r="B312" s="16" t="inlineStr">
        <is>
          <t>Pagado</t>
        </is>
      </c>
      <c r="C312" s="16" t="n">
        <v>860002518</v>
      </c>
      <c r="D312" s="16" t="inlineStr">
        <is>
          <t>UNILEVER ANDINA COLOMBIA LTDA</t>
        </is>
      </c>
      <c r="E312" s="16" t="inlineStr">
        <is>
          <t>PMP1277144</t>
        </is>
      </c>
      <c r="F312" s="16" t="inlineStr">
        <is>
          <t>12/09/2025</t>
        </is>
      </c>
      <c r="G312" s="16" t="n">
        <v>5100337147</v>
      </c>
      <c r="H312" s="16" t="inlineStr">
        <is>
          <t>Factura Acrededor</t>
        </is>
      </c>
      <c r="I312" s="16" t="inlineStr">
        <is>
          <t>21/08/2025</t>
        </is>
      </c>
      <c r="J312" s="16" t="n">
        <v>0</v>
      </c>
      <c r="K312" s="17" t="n">
        <v>-19509586</v>
      </c>
      <c r="L312" s="16" t="inlineStr">
        <is>
          <t>Cota</t>
        </is>
      </c>
      <c r="M312" s="16" t="inlineStr">
        <is>
          <t>UNILEVER ANDINA COLOMBIA LTDA</t>
        </is>
      </c>
      <c r="N312" s="18">
        <f>+H312&amp;" "&amp; E312</f>
        <v/>
      </c>
      <c r="O312" s="18" t="inlineStr">
        <is>
          <t>Cartera</t>
        </is>
      </c>
    </row>
    <row r="313">
      <c r="A313" s="16" t="n">
        <v>1728</v>
      </c>
      <c r="B313" s="16" t="inlineStr">
        <is>
          <t>Pagado</t>
        </is>
      </c>
      <c r="C313" s="16" t="n">
        <v>860002518</v>
      </c>
      <c r="D313" s="16" t="inlineStr">
        <is>
          <t>UNILEVER ANDINA COLOMBIA LTDA</t>
        </is>
      </c>
      <c r="E313" s="16" t="inlineStr">
        <is>
          <t>PMP1276990</t>
        </is>
      </c>
      <c r="F313" s="16" t="inlineStr">
        <is>
          <t>12/09/2025</t>
        </is>
      </c>
      <c r="G313" s="16" t="n">
        <v>5100337390</v>
      </c>
      <c r="H313" s="16" t="inlineStr">
        <is>
          <t>Reduc Factura Compra</t>
        </is>
      </c>
      <c r="I313" s="16" t="inlineStr">
        <is>
          <t>21/08/2025</t>
        </is>
      </c>
      <c r="J313" s="16" t="n">
        <v>0</v>
      </c>
      <c r="K313" s="17" t="n">
        <v>538091</v>
      </c>
      <c r="M313" s="16" t="inlineStr">
        <is>
          <t>UNILEVER ANDINA COLOMBIA LTDA/CONCILIAICION</t>
        </is>
      </c>
      <c r="N313" s="18">
        <f>+H313&amp;" "&amp;E313</f>
        <v/>
      </c>
      <c r="O313" s="18" t="inlineStr">
        <is>
          <t>Ventas</t>
        </is>
      </c>
    </row>
    <row r="314">
      <c r="A314" s="16" t="n">
        <v>1729</v>
      </c>
      <c r="B314" s="16" t="inlineStr">
        <is>
          <t>Pagado</t>
        </is>
      </c>
      <c r="C314" s="16" t="n">
        <v>860002518</v>
      </c>
      <c r="D314" s="16" t="inlineStr">
        <is>
          <t>UNILEVER ANDINA COLOMBIA LTDA</t>
        </is>
      </c>
      <c r="E314" s="16" t="inlineStr">
        <is>
          <t>PMP1276990</t>
        </is>
      </c>
      <c r="F314" s="16" t="inlineStr">
        <is>
          <t>12/09/2025</t>
        </is>
      </c>
      <c r="G314" s="16" t="n">
        <v>5100337389</v>
      </c>
      <c r="H314" s="16" t="inlineStr">
        <is>
          <t>Factura Acrededor</t>
        </is>
      </c>
      <c r="I314" s="16" t="inlineStr">
        <is>
          <t>21/08/2025</t>
        </is>
      </c>
      <c r="J314" s="16" t="n">
        <v>0</v>
      </c>
      <c r="K314" s="17" t="n">
        <v>-91703429</v>
      </c>
      <c r="M314" s="16" t="inlineStr">
        <is>
          <t>UNILEVER ANDINA COLOMBIA LTDA/CONCILIAICION</t>
        </is>
      </c>
      <c r="N314" s="18">
        <f>+H314&amp;" "&amp; E314</f>
        <v/>
      </c>
      <c r="O314" s="18" t="inlineStr">
        <is>
          <t>Cartera</t>
        </is>
      </c>
    </row>
    <row r="315">
      <c r="A315" s="16" t="n">
        <v>1730</v>
      </c>
      <c r="B315" s="16" t="inlineStr">
        <is>
          <t>Pagado</t>
        </is>
      </c>
      <c r="C315" s="16" t="n">
        <v>860002518</v>
      </c>
      <c r="D315" s="16" t="inlineStr">
        <is>
          <t>UNILEVER ANDINA COLOMBIA LTDA</t>
        </is>
      </c>
      <c r="E315" s="16" t="inlineStr">
        <is>
          <t>PMP1277143</t>
        </is>
      </c>
      <c r="F315" s="16" t="inlineStr">
        <is>
          <t>12/09/2025</t>
        </is>
      </c>
      <c r="G315" s="16" t="n">
        <v>5100337687</v>
      </c>
      <c r="H315" s="16" t="inlineStr">
        <is>
          <t>Factura Acrededor</t>
        </is>
      </c>
      <c r="I315" s="16" t="inlineStr">
        <is>
          <t>21/08/2025</t>
        </is>
      </c>
      <c r="J315" s="16" t="n">
        <v>0</v>
      </c>
      <c r="K315" s="17" t="n">
        <v>-357532623</v>
      </c>
      <c r="L315" s="16" t="inlineStr">
        <is>
          <t>Cota</t>
        </is>
      </c>
      <c r="M315" s="16" t="inlineStr">
        <is>
          <t>UNILEVER ANDINA COLOMBIA LTDA/CONCILIACION</t>
        </is>
      </c>
      <c r="N315" s="18">
        <f>+H315&amp;" "&amp; E315</f>
        <v/>
      </c>
      <c r="O315" s="18" t="inlineStr">
        <is>
          <t>Cartera</t>
        </is>
      </c>
    </row>
    <row r="316">
      <c r="A316" s="16" t="n">
        <v>1731</v>
      </c>
      <c r="B316" s="16" t="inlineStr">
        <is>
          <t>Pagado</t>
        </is>
      </c>
      <c r="C316" s="16" t="n">
        <v>860002518</v>
      </c>
      <c r="D316" s="16" t="inlineStr">
        <is>
          <t>UNILEVER ANDINA COLOMBIA LTDA</t>
        </is>
      </c>
      <c r="E316" s="16" t="inlineStr">
        <is>
          <t>PMP1277143</t>
        </is>
      </c>
      <c r="F316" s="16" t="inlineStr">
        <is>
          <t>12/09/2025</t>
        </is>
      </c>
      <c r="G316" s="16" t="n">
        <v>5100337688</v>
      </c>
      <c r="H316" s="16" t="inlineStr">
        <is>
          <t>Reduc Factura Compra</t>
        </is>
      </c>
      <c r="I316" s="16" t="inlineStr">
        <is>
          <t>21/08/2025</t>
        </is>
      </c>
      <c r="J316" s="16" t="n">
        <v>0</v>
      </c>
      <c r="K316" s="17" t="n">
        <v>18833393</v>
      </c>
      <c r="L316" s="16" t="inlineStr">
        <is>
          <t>Cota</t>
        </is>
      </c>
      <c r="M316" s="16" t="inlineStr">
        <is>
          <t>UNILEVER ANDINA COLOMBIA LTDA/CONCILIACION</t>
        </is>
      </c>
      <c r="N316" s="18">
        <f>+H316&amp;" "&amp;E316</f>
        <v/>
      </c>
      <c r="O316" s="18" t="inlineStr">
        <is>
          <t>Ventas</t>
        </is>
      </c>
    </row>
    <row r="317">
      <c r="A317" s="16" t="n">
        <v>1732</v>
      </c>
      <c r="B317" s="16" t="inlineStr">
        <is>
          <t>Pagado</t>
        </is>
      </c>
      <c r="C317" s="16" t="n">
        <v>860002518</v>
      </c>
      <c r="D317" s="16" t="inlineStr">
        <is>
          <t>UNILEVER ANDINA COLOMBIA LTDA</t>
        </is>
      </c>
      <c r="E317" s="16" t="inlineStr">
        <is>
          <t>PMP1277142</t>
        </is>
      </c>
      <c r="F317" s="16" t="inlineStr">
        <is>
          <t>12/09/2025</t>
        </is>
      </c>
      <c r="G317" s="16" t="n">
        <v>5100337954</v>
      </c>
      <c r="H317" s="16" t="inlineStr">
        <is>
          <t>Factura Acrededor</t>
        </is>
      </c>
      <c r="I317" s="16" t="inlineStr">
        <is>
          <t>21/08/2025</t>
        </is>
      </c>
      <c r="J317" s="16" t="n">
        <v>0</v>
      </c>
      <c r="K317" s="17" t="n">
        <v>-334587580</v>
      </c>
      <c r="L317" s="16" t="inlineStr">
        <is>
          <t>Cota</t>
        </is>
      </c>
      <c r="M317" s="16" t="inlineStr">
        <is>
          <t>UNILEVER ANDINA COLOMBIA LTDA/CONCILIACION</t>
        </is>
      </c>
      <c r="N317" s="18">
        <f>+H317&amp;" "&amp; E317</f>
        <v/>
      </c>
      <c r="O317" s="18" t="inlineStr">
        <is>
          <t>Cartera</t>
        </is>
      </c>
    </row>
    <row r="318">
      <c r="A318" s="16" t="n">
        <v>1733</v>
      </c>
      <c r="B318" s="16" t="inlineStr">
        <is>
          <t>Pagado</t>
        </is>
      </c>
      <c r="C318" s="16" t="n">
        <v>860002518</v>
      </c>
      <c r="D318" s="16" t="inlineStr">
        <is>
          <t>UNILEVER ANDINA COLOMBIA LTDA</t>
        </is>
      </c>
      <c r="E318" s="16" t="inlineStr">
        <is>
          <t>PMP1277142</t>
        </is>
      </c>
      <c r="F318" s="16" t="inlineStr">
        <is>
          <t>12/09/2025</t>
        </is>
      </c>
      <c r="G318" s="16" t="n">
        <v>5100337955</v>
      </c>
      <c r="H318" s="16" t="inlineStr">
        <is>
          <t>Reduc Factura Compra</t>
        </is>
      </c>
      <c r="I318" s="16" t="inlineStr">
        <is>
          <t>21/08/2025</t>
        </is>
      </c>
      <c r="J318" s="16" t="n">
        <v>0</v>
      </c>
      <c r="K318" s="17" t="n">
        <v>1272672</v>
      </c>
      <c r="L318" s="16" t="inlineStr">
        <is>
          <t>Cota</t>
        </is>
      </c>
      <c r="M318" s="16" t="inlineStr">
        <is>
          <t>UNILEVER ANDINA COLOMBIA LTDA/CONCILIACION</t>
        </is>
      </c>
      <c r="N318" s="18">
        <f>+H318&amp;" "&amp;E318</f>
        <v/>
      </c>
      <c r="O318" s="18" t="inlineStr">
        <is>
          <t>Ventas</t>
        </is>
      </c>
    </row>
    <row r="319">
      <c r="A319" s="16" t="n">
        <v>1735</v>
      </c>
      <c r="B319" s="16" t="inlineStr">
        <is>
          <t>Pagado</t>
        </is>
      </c>
      <c r="C319" s="16" t="n">
        <v>860002518</v>
      </c>
      <c r="D319" s="16" t="inlineStr">
        <is>
          <t>UNILEVER ANDINA COLOMBIA LTDA</t>
        </is>
      </c>
      <c r="E319" s="16" t="inlineStr">
        <is>
          <t>PMP1276988</t>
        </is>
      </c>
      <c r="F319" s="16" t="inlineStr">
        <is>
          <t>12/09/2025</t>
        </is>
      </c>
      <c r="G319" s="16" t="n">
        <v>5100337288</v>
      </c>
      <c r="H319" s="16" t="inlineStr">
        <is>
          <t>Reduc Factura Compra</t>
        </is>
      </c>
      <c r="I319" s="16" t="inlineStr">
        <is>
          <t>21/08/2025</t>
        </is>
      </c>
      <c r="J319" s="16" t="n">
        <v>0</v>
      </c>
      <c r="K319" s="17" t="n">
        <v>182382</v>
      </c>
      <c r="M319" s="16" t="inlineStr">
        <is>
          <t>UNILEVER ANDINA COLOMBIA LTDA/CONCILIACION</t>
        </is>
      </c>
      <c r="N319" s="18">
        <f>+H319&amp;" "&amp;E319</f>
        <v/>
      </c>
      <c r="O319" s="18" t="inlineStr">
        <is>
          <t>Ventas</t>
        </is>
      </c>
    </row>
    <row r="320">
      <c r="A320" s="16" t="n">
        <v>1736</v>
      </c>
      <c r="B320" s="16" t="inlineStr">
        <is>
          <t>Pagado</t>
        </is>
      </c>
      <c r="C320" s="16" t="n">
        <v>860002518</v>
      </c>
      <c r="D320" s="16" t="inlineStr">
        <is>
          <t>UNILEVER ANDINA COLOMBIA LTDA</t>
        </is>
      </c>
      <c r="E320" s="16" t="inlineStr">
        <is>
          <t>PMP1276988</t>
        </is>
      </c>
      <c r="F320" s="16" t="inlineStr">
        <is>
          <t>12/09/2025</t>
        </is>
      </c>
      <c r="G320" s="16" t="n">
        <v>5100337287</v>
      </c>
      <c r="H320" s="16" t="inlineStr">
        <is>
          <t>Factura Acrededor</t>
        </is>
      </c>
      <c r="I320" s="16" t="inlineStr">
        <is>
          <t>21/08/2025</t>
        </is>
      </c>
      <c r="J320" s="16" t="n">
        <v>0</v>
      </c>
      <c r="K320" s="17" t="n">
        <v>-111183834</v>
      </c>
      <c r="M320" s="16" t="inlineStr">
        <is>
          <t>UNILEVER ANDINA COLOMBIA LTDA/CONCILIACION</t>
        </is>
      </c>
      <c r="N320" s="18">
        <f>+H320&amp;" "&amp; E320</f>
        <v/>
      </c>
      <c r="O320" s="18" t="inlineStr">
        <is>
          <t>Cartera</t>
        </is>
      </c>
    </row>
    <row r="321">
      <c r="A321" s="16" t="n">
        <v>1737</v>
      </c>
      <c r="B321" s="16" t="inlineStr">
        <is>
          <t>Pagado</t>
        </is>
      </c>
      <c r="C321" s="16" t="n">
        <v>860002518</v>
      </c>
      <c r="D321" s="16" t="inlineStr">
        <is>
          <t>UNILEVER ANDINA COLOMBIA LTDA</t>
        </is>
      </c>
      <c r="E321" s="16" t="inlineStr">
        <is>
          <t>PMP-1276953</t>
        </is>
      </c>
      <c r="F321" s="16" t="inlineStr">
        <is>
          <t>16/09/2025</t>
        </is>
      </c>
      <c r="G321" s="16" t="n">
        <v>5100339351</v>
      </c>
      <c r="H321" s="16" t="inlineStr">
        <is>
          <t>Reduc Factura Compra</t>
        </is>
      </c>
      <c r="I321" s="16" t="inlineStr">
        <is>
          <t>21/08/2025</t>
        </is>
      </c>
      <c r="J321" s="16" t="n">
        <v>0</v>
      </c>
      <c r="K321" s="17" t="n">
        <v>56494</v>
      </c>
      <c r="L321" s="16" t="inlineStr">
        <is>
          <t>Bucaramanga ZF</t>
        </is>
      </c>
      <c r="M321" s="16" t="inlineStr">
        <is>
          <t>UNILEVER ANDINA COLOMBIA LTDA/CONCILIACION</t>
        </is>
      </c>
      <c r="N321" s="18">
        <f>+H321&amp;" "&amp;E321</f>
        <v/>
      </c>
      <c r="O321" s="18" t="inlineStr">
        <is>
          <t>Ventas</t>
        </is>
      </c>
    </row>
    <row r="322">
      <c r="A322" s="16" t="n">
        <v>1738</v>
      </c>
      <c r="B322" s="16" t="inlineStr">
        <is>
          <t>Pagado</t>
        </is>
      </c>
      <c r="C322" s="16" t="n">
        <v>860002518</v>
      </c>
      <c r="D322" s="16" t="inlineStr">
        <is>
          <t>UNILEVER ANDINA COLOMBIA LTDA</t>
        </is>
      </c>
      <c r="E322" s="16" t="inlineStr">
        <is>
          <t>PMP-1276953</t>
        </is>
      </c>
      <c r="F322" s="16" t="inlineStr">
        <is>
          <t>16/09/2025</t>
        </is>
      </c>
      <c r="G322" s="16" t="n">
        <v>5100339350</v>
      </c>
      <c r="H322" s="16" t="inlineStr">
        <is>
          <t>Factura Acrededor</t>
        </is>
      </c>
      <c r="I322" s="16" t="inlineStr">
        <is>
          <t>21/08/2025</t>
        </is>
      </c>
      <c r="J322" s="16" t="n">
        <v>0</v>
      </c>
      <c r="K322" s="17" t="n">
        <v>-33627621</v>
      </c>
      <c r="L322" s="16" t="inlineStr">
        <is>
          <t>Bucaramanga ZF</t>
        </is>
      </c>
      <c r="M322" s="16" t="inlineStr">
        <is>
          <t>UNILEVER ANDINA COLOMBIA LTDA/CONCILIACION</t>
        </is>
      </c>
      <c r="N322" s="18">
        <f>+H322&amp;" "&amp; E322</f>
        <v/>
      </c>
      <c r="O322" s="18" t="inlineStr">
        <is>
          <t>Cartera</t>
        </is>
      </c>
    </row>
    <row r="323">
      <c r="A323" s="16" t="n">
        <v>1739</v>
      </c>
      <c r="B323" s="16" t="inlineStr">
        <is>
          <t>Pagado</t>
        </is>
      </c>
      <c r="C323" s="16" t="n">
        <v>860002518</v>
      </c>
      <c r="D323" s="16" t="inlineStr">
        <is>
          <t>UNILEVER ANDINA COLOMBIA LTDA</t>
        </is>
      </c>
      <c r="E323" s="16" t="inlineStr">
        <is>
          <t>PMP-1276956</t>
        </is>
      </c>
      <c r="F323" s="16" t="inlineStr">
        <is>
          <t>16/09/2025</t>
        </is>
      </c>
      <c r="G323" s="16" t="n">
        <v>5100340000</v>
      </c>
      <c r="H323" s="16" t="inlineStr">
        <is>
          <t>Factura Acrededor</t>
        </is>
      </c>
      <c r="I323" s="16" t="inlineStr">
        <is>
          <t>21/08/2025</t>
        </is>
      </c>
      <c r="J323" s="16" t="n">
        <v>0</v>
      </c>
      <c r="K323" s="17" t="n">
        <v>-48295385</v>
      </c>
      <c r="L323" s="16" t="inlineStr">
        <is>
          <t>Bucaramanga ZF</t>
        </is>
      </c>
      <c r="M323" s="16" t="inlineStr">
        <is>
          <t>UNILEVER ANDINA COLOMBIA LTDA/CONCILIACION</t>
        </is>
      </c>
      <c r="N323" s="18">
        <f>+H323&amp;" "&amp; E323</f>
        <v/>
      </c>
      <c r="O323" s="18" t="inlineStr">
        <is>
          <t>Cartera</t>
        </is>
      </c>
    </row>
    <row r="324">
      <c r="A324" s="16" t="n">
        <v>1746</v>
      </c>
      <c r="B324" s="16" t="inlineStr">
        <is>
          <t>Pagado</t>
        </is>
      </c>
      <c r="C324" s="16" t="n">
        <v>860002518</v>
      </c>
      <c r="D324" s="16" t="inlineStr">
        <is>
          <t>UNILEVER ANDINA COLOMBIA LTDA</t>
        </is>
      </c>
      <c r="E324" s="16" t="inlineStr">
        <is>
          <t>PMP1279349</t>
        </is>
      </c>
      <c r="F324" s="16" t="inlineStr">
        <is>
          <t>17/09/2025</t>
        </is>
      </c>
      <c r="G324" s="16" t="n">
        <v>5100340592</v>
      </c>
      <c r="H324" s="16" t="inlineStr">
        <is>
          <t>Factura Acrededor</t>
        </is>
      </c>
      <c r="I324" s="16" t="inlineStr">
        <is>
          <t>26/08/2025</t>
        </is>
      </c>
      <c r="J324" s="16" t="n">
        <v>0</v>
      </c>
      <c r="K324" s="17" t="n">
        <v>-2218894</v>
      </c>
      <c r="M324" s="16" t="inlineStr">
        <is>
          <t>UNILEVER ANDINA COLOMBIA LTDA</t>
        </is>
      </c>
      <c r="N324" s="18">
        <f>+H324&amp;" "&amp; E324</f>
        <v/>
      </c>
      <c r="O324" s="18" t="inlineStr">
        <is>
          <t>Cartera</t>
        </is>
      </c>
    </row>
    <row r="325">
      <c r="A325" s="16" t="n">
        <v>1747</v>
      </c>
      <c r="B325" s="16" t="inlineStr">
        <is>
          <t>Pagado</t>
        </is>
      </c>
      <c r="C325" s="16" t="n">
        <v>860002518</v>
      </c>
      <c r="D325" s="16" t="inlineStr">
        <is>
          <t>UNILEVER ANDINA COLOMBIA LTDA</t>
        </is>
      </c>
      <c r="E325" s="16" t="inlineStr">
        <is>
          <t>PMP1279348</t>
        </is>
      </c>
      <c r="F325" s="16" t="inlineStr">
        <is>
          <t>17/09/2025</t>
        </is>
      </c>
      <c r="G325" s="16" t="n">
        <v>5100340697</v>
      </c>
      <c r="H325" s="16" t="inlineStr">
        <is>
          <t>Factura Acrededor</t>
        </is>
      </c>
      <c r="I325" s="16" t="inlineStr">
        <is>
          <t>26/08/2025</t>
        </is>
      </c>
      <c r="J325" s="16" t="n">
        <v>0</v>
      </c>
      <c r="K325" s="17" t="n">
        <v>-49430226</v>
      </c>
      <c r="M325" s="16" t="inlineStr">
        <is>
          <t>UNILEVER ANDINA COLOMBIA LTD/conciliacion</t>
        </is>
      </c>
      <c r="N325" s="18">
        <f>+H325&amp;" "&amp; E325</f>
        <v/>
      </c>
      <c r="O325" s="18" t="inlineStr">
        <is>
          <t>Cartera</t>
        </is>
      </c>
    </row>
    <row r="326">
      <c r="A326" s="16" t="n">
        <v>1748</v>
      </c>
      <c r="B326" s="16" t="inlineStr">
        <is>
          <t>Pagado</t>
        </is>
      </c>
      <c r="C326" s="16" t="n">
        <v>860002518</v>
      </c>
      <c r="D326" s="16" t="inlineStr">
        <is>
          <t>UNILEVER ANDINA COLOMBIA LTDA</t>
        </is>
      </c>
      <c r="E326" s="16" t="inlineStr">
        <is>
          <t>PMP1277184</t>
        </is>
      </c>
      <c r="F326" s="16" t="inlineStr">
        <is>
          <t>17/09/2025</t>
        </is>
      </c>
      <c r="G326" s="16" t="n">
        <v>5100342198</v>
      </c>
      <c r="H326" s="16" t="inlineStr">
        <is>
          <t>Factura Acrededor</t>
        </is>
      </c>
      <c r="I326" s="16" t="inlineStr">
        <is>
          <t>21/08/2025</t>
        </is>
      </c>
      <c r="J326" s="16" t="n">
        <v>0</v>
      </c>
      <c r="K326" s="17" t="n">
        <v>-28562913</v>
      </c>
      <c r="L326" s="16" t="inlineStr">
        <is>
          <t>Barranquilla</t>
        </is>
      </c>
      <c r="M326" s="16" t="inlineStr">
        <is>
          <t>UNILEVER ANDINA COLOMBIA LTDA</t>
        </is>
      </c>
      <c r="N326" s="18">
        <f>+H326&amp;" "&amp; E326</f>
        <v/>
      </c>
      <c r="O326" s="18" t="inlineStr">
        <is>
          <t>Cartera</t>
        </is>
      </c>
    </row>
    <row r="327">
      <c r="A327" s="16" t="n">
        <v>1749</v>
      </c>
      <c r="B327" s="16" t="inlineStr">
        <is>
          <t>Pagado</t>
        </is>
      </c>
      <c r="C327" s="16" t="n">
        <v>860002518</v>
      </c>
      <c r="D327" s="16" t="inlineStr">
        <is>
          <t>UNILEVER ANDINA COLOMBIA LTDA</t>
        </is>
      </c>
      <c r="E327" s="16" t="inlineStr">
        <is>
          <t>PMP1277184</t>
        </is>
      </c>
      <c r="F327" s="16" t="inlineStr">
        <is>
          <t>17/09/2025</t>
        </is>
      </c>
      <c r="G327" s="16" t="n">
        <v>5100342199</v>
      </c>
      <c r="H327" s="16" t="inlineStr">
        <is>
          <t>Reduc Factura Compra</t>
        </is>
      </c>
      <c r="I327" s="16" t="inlineStr">
        <is>
          <t>21/08/2025</t>
        </is>
      </c>
      <c r="J327" s="16" t="n">
        <v>0</v>
      </c>
      <c r="K327" s="17" t="n">
        <v>149985</v>
      </c>
      <c r="L327" s="16" t="inlineStr">
        <is>
          <t>Barranquilla</t>
        </is>
      </c>
      <c r="M327" s="16" t="inlineStr">
        <is>
          <t>UNILEVER ANDINA COLOMBIA LTDA</t>
        </is>
      </c>
      <c r="N327" s="18">
        <f>+H327&amp;" "&amp;E327</f>
        <v/>
      </c>
      <c r="O327" s="18" t="inlineStr">
        <is>
          <t>Ventas</t>
        </is>
      </c>
    </row>
    <row r="328">
      <c r="A328" s="16" t="n">
        <v>1750</v>
      </c>
      <c r="B328" s="16" t="inlineStr">
        <is>
          <t>Pagado</t>
        </is>
      </c>
      <c r="C328" s="16" t="n">
        <v>860002518</v>
      </c>
      <c r="D328" s="16" t="inlineStr">
        <is>
          <t>UNILEVER ANDINA COLOMBIA LTDA</t>
        </is>
      </c>
      <c r="E328" s="16" t="inlineStr">
        <is>
          <t>PMP1277185</t>
        </is>
      </c>
      <c r="F328" s="16" t="inlineStr">
        <is>
          <t>17/09/2025</t>
        </is>
      </c>
      <c r="G328" s="16" t="n">
        <v>5100342200</v>
      </c>
      <c r="H328" s="16" t="inlineStr">
        <is>
          <t>Factura Acrededor</t>
        </is>
      </c>
      <c r="I328" s="16" t="inlineStr">
        <is>
          <t>21/08/2025</t>
        </is>
      </c>
      <c r="J328" s="16" t="n">
        <v>0</v>
      </c>
      <c r="K328" s="17" t="n">
        <v>-28536891</v>
      </c>
      <c r="L328" s="16" t="inlineStr">
        <is>
          <t>Barranquilla</t>
        </is>
      </c>
      <c r="M328" s="16" t="inlineStr">
        <is>
          <t>UNILEVER ANDINA COLOMBIA LTDA</t>
        </is>
      </c>
      <c r="N328" s="18">
        <f>+H328&amp;" "&amp; E328</f>
        <v/>
      </c>
      <c r="O328" s="18" t="inlineStr">
        <is>
          <t>Cartera</t>
        </is>
      </c>
    </row>
    <row r="329">
      <c r="A329" s="16" t="n">
        <v>1751</v>
      </c>
      <c r="B329" s="16" t="inlineStr">
        <is>
          <t>Pagado</t>
        </is>
      </c>
      <c r="C329" s="16" t="n">
        <v>860002518</v>
      </c>
      <c r="D329" s="16" t="inlineStr">
        <is>
          <t>UNILEVER ANDINA COLOMBIA LTDA</t>
        </is>
      </c>
      <c r="E329" s="16" t="inlineStr">
        <is>
          <t>PMP1277185</t>
        </is>
      </c>
      <c r="F329" s="16" t="inlineStr">
        <is>
          <t>17/09/2025</t>
        </is>
      </c>
      <c r="G329" s="16" t="n">
        <v>5100342201</v>
      </c>
      <c r="H329" s="16" t="inlineStr">
        <is>
          <t>Reduc Factura Compra</t>
        </is>
      </c>
      <c r="I329" s="16" t="inlineStr">
        <is>
          <t>21/08/2025</t>
        </is>
      </c>
      <c r="J329" s="16" t="n">
        <v>0</v>
      </c>
      <c r="K329" s="17" t="n">
        <v>15641</v>
      </c>
      <c r="L329" s="16" t="inlineStr">
        <is>
          <t>Barranquilla</t>
        </is>
      </c>
      <c r="M329" s="16" t="inlineStr">
        <is>
          <t>UNILEVER ANDINA COLOMBIA LTDA</t>
        </is>
      </c>
      <c r="N329" s="18">
        <f>+H329&amp;" "&amp;E329</f>
        <v/>
      </c>
      <c r="O329" s="18" t="inlineStr">
        <is>
          <t>Ventas</t>
        </is>
      </c>
    </row>
    <row r="330">
      <c r="A330" s="16" t="n">
        <v>1753</v>
      </c>
      <c r="B330" s="16" t="inlineStr">
        <is>
          <t>Pagado</t>
        </is>
      </c>
      <c r="C330" s="16" t="n">
        <v>860002518</v>
      </c>
      <c r="D330" s="16" t="inlineStr">
        <is>
          <t>UNILEVER ANDINA COLOMBIA LTDA</t>
        </is>
      </c>
      <c r="E330" s="16" t="n">
        <v>5009060500</v>
      </c>
      <c r="F330" s="16" t="inlineStr">
        <is>
          <t>03/09/2025</t>
        </is>
      </c>
      <c r="G330" s="16" t="n">
        <v>5100346791</v>
      </c>
      <c r="H330" s="16" t="inlineStr">
        <is>
          <t>Devolucion</t>
        </is>
      </c>
      <c r="I330" s="16" t="inlineStr">
        <is>
          <t>01/09/2025</t>
        </is>
      </c>
      <c r="J330" s="16" t="n">
        <v>0</v>
      </c>
      <c r="K330" s="17" t="n">
        <v>726565</v>
      </c>
      <c r="L330" s="16" t="inlineStr">
        <is>
          <t>Cota</t>
        </is>
      </c>
      <c r="N330" s="18">
        <f>_xlfn.CONCAT(H330 &amp;" "&amp; E330)</f>
        <v/>
      </c>
      <c r="O330" s="18" t="inlineStr">
        <is>
          <t>AVERIAS</t>
        </is>
      </c>
    </row>
    <row r="331">
      <c r="A331" s="16" t="n">
        <v>1754</v>
      </c>
      <c r="B331" s="16" t="inlineStr">
        <is>
          <t>Pagado</t>
        </is>
      </c>
      <c r="C331" s="16" t="n">
        <v>860002518</v>
      </c>
      <c r="D331" s="16" t="inlineStr">
        <is>
          <t>UNILEVER ANDINA COLOMBIA LTDA</t>
        </is>
      </c>
      <c r="E331" s="16" t="n">
        <v>5009071411</v>
      </c>
      <c r="F331" s="16" t="inlineStr">
        <is>
          <t>05/09/2025</t>
        </is>
      </c>
      <c r="G331" s="16" t="n">
        <v>5100349340</v>
      </c>
      <c r="H331" s="16" t="inlineStr">
        <is>
          <t>Devolucion</t>
        </is>
      </c>
      <c r="I331" s="16" t="inlineStr">
        <is>
          <t>02/09/2025</t>
        </is>
      </c>
      <c r="J331" s="16" t="n">
        <v>0</v>
      </c>
      <c r="K331" s="17" t="n">
        <v>103265</v>
      </c>
      <c r="L331" s="16" t="inlineStr">
        <is>
          <t>Palmira</t>
        </is>
      </c>
      <c r="N331" s="18">
        <f>_xlfn.CONCAT(H331 &amp;" "&amp; E331)</f>
        <v/>
      </c>
      <c r="O331" s="18" t="inlineStr">
        <is>
          <t>AVERIAS</t>
        </is>
      </c>
    </row>
    <row r="332">
      <c r="A332" s="16" t="n">
        <v>1755</v>
      </c>
      <c r="B332" s="16" t="inlineStr">
        <is>
          <t>Pagado</t>
        </is>
      </c>
      <c r="C332" s="16" t="n">
        <v>860002518</v>
      </c>
      <c r="D332" s="16" t="inlineStr">
        <is>
          <t>UNILEVER ANDINA COLOMBIA LTDA</t>
        </is>
      </c>
      <c r="E332" s="16" t="n">
        <v>5009073507</v>
      </c>
      <c r="F332" s="16" t="inlineStr">
        <is>
          <t>05/09/2025</t>
        </is>
      </c>
      <c r="G332" s="16" t="n">
        <v>5100349925</v>
      </c>
      <c r="H332" s="16" t="inlineStr">
        <is>
          <t>Devolucion</t>
        </is>
      </c>
      <c r="I332" s="16" t="inlineStr">
        <is>
          <t>03/09/2025</t>
        </is>
      </c>
      <c r="J332" s="16" t="n">
        <v>0</v>
      </c>
      <c r="K332" s="17" t="n">
        <v>31843</v>
      </c>
      <c r="L332" s="16" t="inlineStr">
        <is>
          <t>Cerritos</t>
        </is>
      </c>
      <c r="N332" s="18">
        <f>_xlfn.CONCAT(H332 &amp;" "&amp; E332)</f>
        <v/>
      </c>
      <c r="O332" s="18" t="inlineStr">
        <is>
          <t>AVERIAS</t>
        </is>
      </c>
    </row>
    <row r="333">
      <c r="A333" s="16" t="n">
        <v>1756</v>
      </c>
      <c r="B333" s="16" t="inlineStr">
        <is>
          <t>Pagado</t>
        </is>
      </c>
      <c r="C333" s="16" t="n">
        <v>860002518</v>
      </c>
      <c r="D333" s="16" t="inlineStr">
        <is>
          <t>UNILEVER ANDINA COLOMBIA LTDA</t>
        </is>
      </c>
      <c r="E333" s="16" t="inlineStr">
        <is>
          <t>NOTA DEVOLUCIÓN</t>
        </is>
      </c>
      <c r="F333" s="16" t="inlineStr">
        <is>
          <t>12/09/2025</t>
        </is>
      </c>
      <c r="G333" s="16" t="n">
        <v>1700027700</v>
      </c>
      <c r="H333" s="16" t="inlineStr">
        <is>
          <t>Nota</t>
        </is>
      </c>
      <c r="I333" s="16" t="inlineStr">
        <is>
          <t>05/09/2025</t>
        </is>
      </c>
      <c r="J333" s="16" t="n">
        <v>0</v>
      </c>
      <c r="K333" s="17" t="n">
        <v>6022678</v>
      </c>
      <c r="L333" s="16" t="inlineStr">
        <is>
          <t>Palmira</t>
        </is>
      </c>
      <c r="M333" s="16" t="inlineStr">
        <is>
          <t>NOTA DEVOLUCIÓN POR DEPURACIÓN INVENTARIO SEP 25</t>
        </is>
      </c>
      <c r="N333" s="18">
        <f>+M333</f>
        <v/>
      </c>
      <c r="O333" s="18" t="inlineStr">
        <is>
          <t>Ventas</t>
        </is>
      </c>
    </row>
    <row r="334">
      <c r="A334" s="16" t="n">
        <v>1757</v>
      </c>
      <c r="B334" s="16" t="inlineStr">
        <is>
          <t>Pagado</t>
        </is>
      </c>
      <c r="C334" s="16" t="n">
        <v>860002518</v>
      </c>
      <c r="D334" s="16" t="inlineStr">
        <is>
          <t>UNILEVER ANDINA COLOMBIA LTDA</t>
        </is>
      </c>
      <c r="E334" s="16" t="inlineStr">
        <is>
          <t>NOTA DEVOLUCIÓN</t>
        </is>
      </c>
      <c r="F334" s="16" t="inlineStr">
        <is>
          <t>12/09/2025</t>
        </is>
      </c>
      <c r="G334" s="16" t="n">
        <v>1700028006</v>
      </c>
      <c r="H334" s="16" t="inlineStr">
        <is>
          <t>Nota</t>
        </is>
      </c>
      <c r="I334" s="16" t="inlineStr">
        <is>
          <t>05/09/2025</t>
        </is>
      </c>
      <c r="J334" s="16" t="n">
        <v>0</v>
      </c>
      <c r="K334" s="17" t="n">
        <v>7052198</v>
      </c>
      <c r="L334" s="16" t="inlineStr">
        <is>
          <t>Bucaramanga ZF</t>
        </is>
      </c>
      <c r="M334" s="16" t="inlineStr">
        <is>
          <t>NOTA DEVOLUCIÓN POR DEPURACIÓN INVENTARIO SEP 25</t>
        </is>
      </c>
      <c r="N334" s="18">
        <f>+M334</f>
        <v/>
      </c>
      <c r="O334" s="18" t="inlineStr">
        <is>
          <t>Ventas</t>
        </is>
      </c>
    </row>
    <row r="335">
      <c r="A335" s="16" t="n">
        <v>1758</v>
      </c>
      <c r="B335" s="16" t="inlineStr">
        <is>
          <t>Pagado</t>
        </is>
      </c>
      <c r="C335" s="16" t="n">
        <v>860002518</v>
      </c>
      <c r="D335" s="16" t="inlineStr">
        <is>
          <t>UNILEVER ANDINA COLOMBIA LTDA</t>
        </is>
      </c>
      <c r="E335" s="16" t="inlineStr">
        <is>
          <t>NOTA DEVOLUCIÓN</t>
        </is>
      </c>
      <c r="F335" s="16" t="inlineStr">
        <is>
          <t>12/09/2025</t>
        </is>
      </c>
      <c r="G335" s="16" t="n">
        <v>1700028197</v>
      </c>
      <c r="H335" s="16" t="inlineStr">
        <is>
          <t>Nota</t>
        </is>
      </c>
      <c r="I335" s="16" t="inlineStr">
        <is>
          <t>05/09/2025</t>
        </is>
      </c>
      <c r="J335" s="16" t="n">
        <v>0</v>
      </c>
      <c r="K335" s="17" t="n">
        <v>22568987</v>
      </c>
      <c r="M335" s="16" t="inlineStr">
        <is>
          <t>NOTA DEVOLUCIÓN POR DEPURACIÓN INVENTARIO SEP 25</t>
        </is>
      </c>
      <c r="N335" s="18">
        <f>+M335</f>
        <v/>
      </c>
      <c r="O335" s="18" t="inlineStr">
        <is>
          <t>Ventas</t>
        </is>
      </c>
    </row>
    <row r="336">
      <c r="A336" s="16" t="n">
        <v>1759</v>
      </c>
      <c r="B336" s="16" t="inlineStr">
        <is>
          <t>Pagado</t>
        </is>
      </c>
      <c r="C336" s="16" t="n">
        <v>860002518</v>
      </c>
      <c r="D336" s="16" t="inlineStr">
        <is>
          <t>UNILEVER ANDINA COLOMBIA LTDA</t>
        </is>
      </c>
      <c r="E336" s="16" t="inlineStr">
        <is>
          <t>NOTA DEVOLUCIÓN</t>
        </is>
      </c>
      <c r="F336" s="16" t="inlineStr">
        <is>
          <t>08/09/2025</t>
        </is>
      </c>
      <c r="G336" s="16" t="n">
        <v>1700027856</v>
      </c>
      <c r="H336" s="16" t="inlineStr">
        <is>
          <t>Nota</t>
        </is>
      </c>
      <c r="I336" s="16" t="inlineStr">
        <is>
          <t>05/09/2025</t>
        </is>
      </c>
      <c r="J336" s="16" t="n">
        <v>0</v>
      </c>
      <c r="K336" s="17" t="n">
        <v>97555831</v>
      </c>
      <c r="L336" s="16" t="inlineStr">
        <is>
          <t>Cota</t>
        </is>
      </c>
      <c r="M336" s="16" t="inlineStr">
        <is>
          <t>NOTA DEVOLUCIÓN POR DEPURACIÓN INVENTARIO SEP 25</t>
        </is>
      </c>
      <c r="N336" s="18">
        <f>+M336</f>
        <v/>
      </c>
      <c r="O336" s="18" t="inlineStr">
        <is>
          <t>Ventas</t>
        </is>
      </c>
    </row>
    <row r="337">
      <c r="A337" s="16" t="n">
        <v>1760</v>
      </c>
      <c r="B337" s="16" t="inlineStr">
        <is>
          <t>Pagado</t>
        </is>
      </c>
      <c r="C337" s="16" t="n">
        <v>860002518</v>
      </c>
      <c r="D337" s="16" t="inlineStr">
        <is>
          <t>UNILEVER ANDINA COLOMBIA LTDA</t>
        </is>
      </c>
      <c r="E337" s="16" t="n">
        <v>5009087468</v>
      </c>
      <c r="F337" s="16" t="inlineStr">
        <is>
          <t>08/09/2025</t>
        </is>
      </c>
      <c r="G337" s="16" t="n">
        <v>5100353020</v>
      </c>
      <c r="H337" s="16" t="inlineStr">
        <is>
          <t>Devolucion</t>
        </is>
      </c>
      <c r="I337" s="16" t="inlineStr">
        <is>
          <t>05/09/2025</t>
        </is>
      </c>
      <c r="J337" s="16" t="n">
        <v>0</v>
      </c>
      <c r="K337" s="17" t="n">
        <v>3202789</v>
      </c>
      <c r="N337" s="18">
        <f>_xlfn.CONCAT(H337 &amp;" "&amp; E337)</f>
        <v/>
      </c>
      <c r="O337" s="18" t="inlineStr">
        <is>
          <t>AVERIAS</t>
        </is>
      </c>
    </row>
    <row r="338">
      <c r="A338" s="16" t="n">
        <v>1761</v>
      </c>
      <c r="B338" s="16" t="inlineStr">
        <is>
          <t>Pagado</t>
        </is>
      </c>
      <c r="C338" s="16" t="n">
        <v>860002518</v>
      </c>
      <c r="D338" s="16" t="inlineStr">
        <is>
          <t>UNILEVER ANDINA COLOMBIA LTDA</t>
        </is>
      </c>
      <c r="E338" s="16" t="n">
        <v>5009087873</v>
      </c>
      <c r="F338" s="16" t="inlineStr">
        <is>
          <t>08/09/2025</t>
        </is>
      </c>
      <c r="G338" s="16" t="n">
        <v>5100353085</v>
      </c>
      <c r="H338" s="16" t="inlineStr">
        <is>
          <t>Devolucion</t>
        </is>
      </c>
      <c r="I338" s="16" t="inlineStr">
        <is>
          <t>05/09/2025</t>
        </is>
      </c>
      <c r="J338" s="16" t="n">
        <v>0</v>
      </c>
      <c r="K338" s="17" t="n">
        <v>6840</v>
      </c>
      <c r="N338" s="18">
        <f>_xlfn.CONCAT(H338 &amp;" "&amp; E338)</f>
        <v/>
      </c>
      <c r="O338" s="18" t="inlineStr">
        <is>
          <t>AVERIAS</t>
        </is>
      </c>
    </row>
    <row r="339">
      <c r="A339" s="16" t="n">
        <v>1762</v>
      </c>
      <c r="B339" s="16" t="inlineStr">
        <is>
          <t>Pagado</t>
        </is>
      </c>
      <c r="C339" s="16" t="n">
        <v>860002518</v>
      </c>
      <c r="D339" s="16" t="inlineStr">
        <is>
          <t>UNILEVER ANDINA COLOMBIA LTDA</t>
        </is>
      </c>
      <c r="E339" s="16" t="n">
        <v>5009087876</v>
      </c>
      <c r="F339" s="16" t="inlineStr">
        <is>
          <t>08/09/2025</t>
        </is>
      </c>
      <c r="G339" s="16" t="n">
        <v>5100353092</v>
      </c>
      <c r="H339" s="16" t="inlineStr">
        <is>
          <t>Devolucion</t>
        </is>
      </c>
      <c r="I339" s="16" t="inlineStr">
        <is>
          <t>05/09/2025</t>
        </is>
      </c>
      <c r="J339" s="16" t="n">
        <v>0</v>
      </c>
      <c r="K339" s="17" t="n">
        <v>50692</v>
      </c>
      <c r="N339" s="18">
        <f>_xlfn.CONCAT(H339 &amp;" "&amp; E339)</f>
        <v/>
      </c>
      <c r="O339" s="18" t="inlineStr">
        <is>
          <t>AVERIAS</t>
        </is>
      </c>
    </row>
    <row r="340">
      <c r="A340" s="16" t="n">
        <v>1763</v>
      </c>
      <c r="B340" s="16" t="inlineStr">
        <is>
          <t>Pagado</t>
        </is>
      </c>
      <c r="C340" s="16" t="n">
        <v>860002518</v>
      </c>
      <c r="D340" s="16" t="inlineStr">
        <is>
          <t>UNILEVER ANDINA COLOMBIA LTDA</t>
        </is>
      </c>
      <c r="E340" s="16" t="n">
        <v>5009088091</v>
      </c>
      <c r="F340" s="16" t="inlineStr">
        <is>
          <t>08/09/2025</t>
        </is>
      </c>
      <c r="G340" s="16" t="n">
        <v>5100353147</v>
      </c>
      <c r="H340" s="16" t="inlineStr">
        <is>
          <t>Devolucion</t>
        </is>
      </c>
      <c r="I340" s="16" t="inlineStr">
        <is>
          <t>05/09/2025</t>
        </is>
      </c>
      <c r="J340" s="16" t="n">
        <v>0</v>
      </c>
      <c r="K340" s="17" t="n">
        <v>159290</v>
      </c>
      <c r="N340" s="18">
        <f>_xlfn.CONCAT(H340 &amp;" "&amp; E340)</f>
        <v/>
      </c>
      <c r="O340" s="18" t="inlineStr">
        <is>
          <t>AVERIAS</t>
        </is>
      </c>
    </row>
    <row r="341">
      <c r="A341" s="16" t="n">
        <v>1764</v>
      </c>
      <c r="B341" s="16" t="inlineStr">
        <is>
          <t>Pagado</t>
        </is>
      </c>
      <c r="C341" s="16" t="n">
        <v>860002518</v>
      </c>
      <c r="D341" s="16" t="inlineStr">
        <is>
          <t>UNILEVER ANDINA COLOMBIA LTDA</t>
        </is>
      </c>
      <c r="E341" s="16" t="n">
        <v>5009088422</v>
      </c>
      <c r="F341" s="16" t="inlineStr">
        <is>
          <t>11/09/2025</t>
        </is>
      </c>
      <c r="G341" s="16" t="n">
        <v>5100353301</v>
      </c>
      <c r="H341" s="16" t="inlineStr">
        <is>
          <t>Devolucion</t>
        </is>
      </c>
      <c r="I341" s="16" t="inlineStr">
        <is>
          <t>05/09/2025</t>
        </is>
      </c>
      <c r="J341" s="16" t="n">
        <v>0</v>
      </c>
      <c r="K341" s="17" t="n">
        <v>266492</v>
      </c>
      <c r="L341" s="16" t="inlineStr">
        <is>
          <t>Cerritos</t>
        </is>
      </c>
      <c r="N341" s="18">
        <f>_xlfn.CONCAT(H341 &amp;" "&amp; E341)</f>
        <v/>
      </c>
      <c r="O341" s="18" t="inlineStr">
        <is>
          <t>AVERIAS</t>
        </is>
      </c>
    </row>
    <row r="342">
      <c r="A342" s="16" t="n">
        <v>1765</v>
      </c>
      <c r="B342" s="16" t="inlineStr">
        <is>
          <t>Pagado</t>
        </is>
      </c>
      <c r="C342" s="16" t="n">
        <v>860002518</v>
      </c>
      <c r="D342" s="16" t="inlineStr">
        <is>
          <t>UNILEVER ANDINA COLOMBIA LTDA</t>
        </is>
      </c>
      <c r="E342" s="16" t="inlineStr">
        <is>
          <t>NOTA DEVOLUCIÓN</t>
        </is>
      </c>
      <c r="F342" s="16" t="inlineStr">
        <is>
          <t>12/09/2025</t>
        </is>
      </c>
      <c r="G342" s="16" t="n">
        <v>1700027506</v>
      </c>
      <c r="H342" s="16" t="inlineStr">
        <is>
          <t>Nota</t>
        </is>
      </c>
      <c r="I342" s="16" t="inlineStr">
        <is>
          <t>05/09/2025</t>
        </is>
      </c>
      <c r="J342" s="16" t="n">
        <v>0</v>
      </c>
      <c r="K342" s="17" t="n">
        <v>8073343</v>
      </c>
      <c r="L342" s="16" t="inlineStr">
        <is>
          <t>Barranquilla</t>
        </is>
      </c>
      <c r="M342" s="16" t="inlineStr">
        <is>
          <t>NOTA DEVOLUCIÓN POR DEPURACIÓN INVENTARIO SEP 25</t>
        </is>
      </c>
      <c r="N342" s="18">
        <f>+M342</f>
        <v/>
      </c>
      <c r="O342" s="18" t="inlineStr">
        <is>
          <t>Ventas</t>
        </is>
      </c>
    </row>
    <row r="343">
      <c r="A343" s="16" t="n">
        <v>1766</v>
      </c>
      <c r="B343" s="16" t="inlineStr">
        <is>
          <t>Pagado</t>
        </is>
      </c>
      <c r="C343" s="16" t="n">
        <v>860002518</v>
      </c>
      <c r="D343" s="16" t="inlineStr">
        <is>
          <t>UNILEVER ANDINA COLOMBIA LTDA</t>
        </is>
      </c>
      <c r="E343" s="16" t="inlineStr">
        <is>
          <t>NOTA DEVOLUCIÓN</t>
        </is>
      </c>
      <c r="F343" s="16" t="inlineStr">
        <is>
          <t>12/09/2025</t>
        </is>
      </c>
      <c r="G343" s="16" t="n">
        <v>1700027318</v>
      </c>
      <c r="H343" s="16" t="inlineStr">
        <is>
          <t>Nota</t>
        </is>
      </c>
      <c r="I343" s="16" t="inlineStr">
        <is>
          <t>05/09/2025</t>
        </is>
      </c>
      <c r="J343" s="16" t="n">
        <v>0</v>
      </c>
      <c r="K343" s="17" t="n">
        <v>3057002</v>
      </c>
      <c r="L343" s="16" t="inlineStr">
        <is>
          <t>Cerritos</t>
        </is>
      </c>
      <c r="M343" s="16" t="inlineStr">
        <is>
          <t>NOTA DEVOLUCIÓN POR DEPURACIÓN INVENTARIO SEP 25</t>
        </is>
      </c>
      <c r="N343" s="18">
        <f>+M343</f>
        <v/>
      </c>
      <c r="O343" s="18" t="inlineStr">
        <is>
          <t>Ventas</t>
        </is>
      </c>
    </row>
    <row r="344">
      <c r="A344" s="16" t="n">
        <v>1767</v>
      </c>
      <c r="B344" s="16" t="inlineStr">
        <is>
          <t>Pagado</t>
        </is>
      </c>
      <c r="C344" s="16" t="n">
        <v>860002518</v>
      </c>
      <c r="D344" s="16" t="inlineStr">
        <is>
          <t>UNILEVER ANDINA COLOMBIA LTDA</t>
        </is>
      </c>
      <c r="E344" s="16" t="inlineStr">
        <is>
          <t>AUT.G.COMERCIAL</t>
        </is>
      </c>
      <c r="F344" s="16" t="inlineStr">
        <is>
          <t>12/09/2025</t>
        </is>
      </c>
      <c r="G344" s="16" t="n">
        <v>1700028337</v>
      </c>
      <c r="H344" s="16" t="inlineStr">
        <is>
          <t>Nota</t>
        </is>
      </c>
      <c r="I344" s="16" t="inlineStr">
        <is>
          <t>08/09/2025</t>
        </is>
      </c>
      <c r="J344" s="16" t="n">
        <v>0</v>
      </c>
      <c r="K344" s="17" t="n">
        <v>481837</v>
      </c>
      <c r="L344" s="16" t="inlineStr">
        <is>
          <t>Cota</t>
        </is>
      </c>
      <c r="M344" s="16" t="inlineStr">
        <is>
          <t>Dev.&gt;.a.30.dias.en.CEDI.8_Sep_</t>
        </is>
      </c>
      <c r="N344" s="18">
        <f>+M344</f>
        <v/>
      </c>
      <c r="O344" s="18" t="inlineStr">
        <is>
          <t xml:space="preserve">COL </t>
        </is>
      </c>
    </row>
    <row r="345">
      <c r="A345" s="16" t="n">
        <v>1768</v>
      </c>
      <c r="B345" s="16" t="inlineStr">
        <is>
          <t>Pagado</t>
        </is>
      </c>
      <c r="C345" s="16" t="n">
        <v>860002518</v>
      </c>
      <c r="D345" s="16" t="inlineStr">
        <is>
          <t>UNILEVER ANDINA COLOMBIA LTDA</t>
        </is>
      </c>
      <c r="E345" s="16" t="n">
        <v>5009102502</v>
      </c>
      <c r="F345" s="16" t="inlineStr">
        <is>
          <t>11/09/2025</t>
        </is>
      </c>
      <c r="G345" s="16" t="n">
        <v>5100356747</v>
      </c>
      <c r="H345" s="16" t="inlineStr">
        <is>
          <t>Devolucion</t>
        </is>
      </c>
      <c r="I345" s="16" t="inlineStr">
        <is>
          <t>09/09/2025</t>
        </is>
      </c>
      <c r="J345" s="16" t="n">
        <v>0</v>
      </c>
      <c r="K345" s="17" t="n">
        <v>10564</v>
      </c>
      <c r="L345" s="16" t="inlineStr">
        <is>
          <t>Cerritos</t>
        </is>
      </c>
      <c r="N345" s="18">
        <f>_xlfn.CONCAT(H345 &amp;" "&amp; E345)</f>
        <v/>
      </c>
      <c r="O345" s="18" t="inlineStr">
        <is>
          <t>AVERIAS</t>
        </is>
      </c>
    </row>
    <row r="346">
      <c r="A346" s="16" t="n">
        <v>1769</v>
      </c>
      <c r="B346" s="16" t="inlineStr">
        <is>
          <t>Pagado</t>
        </is>
      </c>
      <c r="C346" s="16" t="n">
        <v>860002518</v>
      </c>
      <c r="D346" s="16" t="inlineStr">
        <is>
          <t>UNILEVER ANDINA COLOMBIA LTDA</t>
        </is>
      </c>
      <c r="E346" s="16" t="n">
        <v>5009107003</v>
      </c>
      <c r="F346" s="16" t="inlineStr">
        <is>
          <t>11/09/2025</t>
        </is>
      </c>
      <c r="G346" s="16" t="n">
        <v>5100358070</v>
      </c>
      <c r="H346" s="16" t="inlineStr">
        <is>
          <t>Devolucion</t>
        </is>
      </c>
      <c r="I346" s="16" t="inlineStr">
        <is>
          <t>10/09/2025</t>
        </is>
      </c>
      <c r="J346" s="16" t="n">
        <v>0</v>
      </c>
      <c r="K346" s="17" t="n">
        <v>193803</v>
      </c>
      <c r="N346" s="18">
        <f>_xlfn.CONCAT(H346 &amp;" "&amp; E346)</f>
        <v/>
      </c>
      <c r="O346" s="18" t="inlineStr">
        <is>
          <t>AVERIAS</t>
        </is>
      </c>
    </row>
    <row r="347">
      <c r="A347" s="16" t="n">
        <v>1770</v>
      </c>
      <c r="B347" s="16" t="inlineStr">
        <is>
          <t>Pagado</t>
        </is>
      </c>
      <c r="C347" s="16" t="n">
        <v>860002518</v>
      </c>
      <c r="D347" s="16" t="inlineStr">
        <is>
          <t>UNILEVER ANDINA COLOMBIA LTDA</t>
        </is>
      </c>
      <c r="E347" s="16" t="n">
        <v>5009107002</v>
      </c>
      <c r="F347" s="16" t="inlineStr">
        <is>
          <t>11/09/2025</t>
        </is>
      </c>
      <c r="G347" s="16" t="n">
        <v>5100358066</v>
      </c>
      <c r="H347" s="16" t="inlineStr">
        <is>
          <t>Devolucion</t>
        </is>
      </c>
      <c r="I347" s="16" t="inlineStr">
        <is>
          <t>10/09/2025</t>
        </is>
      </c>
      <c r="J347" s="16" t="n">
        <v>0</v>
      </c>
      <c r="K347" s="17" t="n">
        <v>24318</v>
      </c>
      <c r="N347" s="18">
        <f>_xlfn.CONCAT(H347 &amp;" "&amp; E347)</f>
        <v/>
      </c>
      <c r="O347" s="18" t="inlineStr">
        <is>
          <t>AVERIAS</t>
        </is>
      </c>
    </row>
    <row r="348">
      <c r="A348" s="16" t="n">
        <v>1771</v>
      </c>
      <c r="B348" s="16" t="inlineStr">
        <is>
          <t>Pagado</t>
        </is>
      </c>
      <c r="C348" s="16" t="n">
        <v>860002518</v>
      </c>
      <c r="D348" s="16" t="inlineStr">
        <is>
          <t>UNILEVER ANDINA COLOMBIA LTDA</t>
        </is>
      </c>
      <c r="E348" s="16" t="n">
        <v>5009113522</v>
      </c>
      <c r="F348" s="16" t="inlineStr">
        <is>
          <t>16/09/2025</t>
        </is>
      </c>
      <c r="G348" s="16" t="n">
        <v>5100359659</v>
      </c>
      <c r="H348" s="16" t="inlineStr">
        <is>
          <t>Devolucion</t>
        </is>
      </c>
      <c r="I348" s="16" t="inlineStr">
        <is>
          <t>11/09/2025</t>
        </is>
      </c>
      <c r="J348" s="16" t="n">
        <v>0</v>
      </c>
      <c r="K348" s="17" t="n">
        <v>58141</v>
      </c>
      <c r="N348" s="18">
        <f>_xlfn.CONCAT(H348 &amp;" "&amp; E348)</f>
        <v/>
      </c>
      <c r="O348" s="18" t="inlineStr">
        <is>
          <t>AVERIAS</t>
        </is>
      </c>
    </row>
    <row r="349">
      <c r="A349" s="16" t="n">
        <v>1772</v>
      </c>
      <c r="B349" s="16" t="inlineStr">
        <is>
          <t>Pagado</t>
        </is>
      </c>
      <c r="C349" s="16" t="n">
        <v>860002518</v>
      </c>
      <c r="D349" s="16" t="inlineStr">
        <is>
          <t>UNILEVER ANDINA COLOMBIA LTDA</t>
        </is>
      </c>
      <c r="F349" s="16" t="inlineStr">
        <is>
          <t>16/09/2025</t>
        </is>
      </c>
      <c r="G349" s="16" t="n">
        <v>1700028748</v>
      </c>
      <c r="H349" s="16" t="inlineStr">
        <is>
          <t>Nota</t>
        </is>
      </c>
      <c r="I349" s="16" t="inlineStr">
        <is>
          <t>12/09/2025</t>
        </is>
      </c>
      <c r="J349" s="16" t="n">
        <v>0</v>
      </c>
      <c r="K349" s="17" t="n">
        <v>32548859</v>
      </c>
      <c r="L349" s="16" t="inlineStr">
        <is>
          <t>Cota</t>
        </is>
      </c>
      <c r="M349" s="16" t="inlineStr">
        <is>
          <t>TRASPASO DE REG.A OBS.UNILEVER DIV.E 12.09.2025</t>
        </is>
      </c>
      <c r="N349" s="18">
        <f>+M349</f>
        <v/>
      </c>
      <c r="O349" s="18" t="inlineStr">
        <is>
          <t>Ventas</t>
        </is>
      </c>
    </row>
    <row r="350">
      <c r="A350" s="16" t="n">
        <v>1773</v>
      </c>
      <c r="B350" s="16" t="inlineStr">
        <is>
          <t>Pagado</t>
        </is>
      </c>
      <c r="C350" s="16" t="n">
        <v>860002518</v>
      </c>
      <c r="D350" s="16" t="inlineStr">
        <is>
          <t>UNILEVER ANDINA COLOMBIA LTDA</t>
        </is>
      </c>
      <c r="E350" s="16" t="n">
        <v>5009119511</v>
      </c>
      <c r="F350" s="16" t="inlineStr">
        <is>
          <t>16/09/2025</t>
        </is>
      </c>
      <c r="G350" s="16" t="n">
        <v>5100361628</v>
      </c>
      <c r="H350" s="16" t="inlineStr">
        <is>
          <t>Devolucion</t>
        </is>
      </c>
      <c r="I350" s="16" t="inlineStr">
        <is>
          <t>13/09/2025</t>
        </is>
      </c>
      <c r="J350" s="16" t="n">
        <v>0</v>
      </c>
      <c r="K350" s="17" t="n">
        <v>2330814</v>
      </c>
      <c r="L350" s="16" t="inlineStr">
        <is>
          <t>Palmira</t>
        </is>
      </c>
      <c r="N350" s="18">
        <f>_xlfn.CONCAT(H350 &amp;" "&amp; E350)</f>
        <v/>
      </c>
      <c r="O350" s="18" t="inlineStr">
        <is>
          <t>AVERIAS</t>
        </is>
      </c>
    </row>
    <row r="351">
      <c r="A351" s="16" t="n">
        <v>1774</v>
      </c>
      <c r="B351" s="16" t="inlineStr">
        <is>
          <t>Pagado</t>
        </is>
      </c>
      <c r="C351" s="16" t="n">
        <v>860002518</v>
      </c>
      <c r="D351" s="16" t="inlineStr">
        <is>
          <t>UNILEVER ANDINA COLOMBIA LTDA</t>
        </is>
      </c>
      <c r="E351" s="16" t="n">
        <v>5009121093</v>
      </c>
      <c r="F351" s="16" t="inlineStr">
        <is>
          <t>16/09/2025</t>
        </is>
      </c>
      <c r="G351" s="16" t="n">
        <v>5100362087</v>
      </c>
      <c r="H351" s="16" t="inlineStr">
        <is>
          <t>Devolucion</t>
        </is>
      </c>
      <c r="I351" s="16" t="inlineStr">
        <is>
          <t>13/09/2025</t>
        </is>
      </c>
      <c r="J351" s="16" t="n">
        <v>0</v>
      </c>
      <c r="K351" s="17" t="n">
        <v>21964</v>
      </c>
      <c r="L351" s="16" t="inlineStr">
        <is>
          <t>Palmira</t>
        </is>
      </c>
      <c r="N351" s="18">
        <f>_xlfn.CONCAT(H351 &amp;" "&amp; E351)</f>
        <v/>
      </c>
      <c r="O351" s="18" t="inlineStr">
        <is>
          <t>AVERIAS</t>
        </is>
      </c>
    </row>
    <row r="352">
      <c r="A352" s="16" t="n">
        <v>1775</v>
      </c>
      <c r="B352" s="16" t="inlineStr">
        <is>
          <t>Pagado</t>
        </is>
      </c>
      <c r="C352" s="16" t="n">
        <v>860002518</v>
      </c>
      <c r="D352" s="16" t="inlineStr">
        <is>
          <t>UNILEVER ANDINA COLOMBIA LTDA</t>
        </is>
      </c>
      <c r="E352" s="16" t="n">
        <v>5009121260</v>
      </c>
      <c r="F352" s="16" t="inlineStr">
        <is>
          <t>16/09/2025</t>
        </is>
      </c>
      <c r="G352" s="16" t="n">
        <v>5100362140</v>
      </c>
      <c r="H352" s="16" t="inlineStr">
        <is>
          <t>Devolucion</t>
        </is>
      </c>
      <c r="I352" s="16" t="inlineStr">
        <is>
          <t>13/09/2025</t>
        </is>
      </c>
      <c r="J352" s="16" t="n">
        <v>0</v>
      </c>
      <c r="K352" s="17" t="n">
        <v>21203</v>
      </c>
      <c r="L352" s="16" t="inlineStr">
        <is>
          <t>Cota</t>
        </is>
      </c>
      <c r="N352" s="18">
        <f>_xlfn.CONCAT(H352 &amp;" "&amp; E352)</f>
        <v/>
      </c>
      <c r="O352" s="18" t="inlineStr">
        <is>
          <t>AVERIAS</t>
        </is>
      </c>
    </row>
    <row r="353">
      <c r="A353" s="16" t="n">
        <v>1776</v>
      </c>
      <c r="B353" s="16" t="inlineStr">
        <is>
          <t>Pagado</t>
        </is>
      </c>
      <c r="C353" s="16" t="n">
        <v>860002518</v>
      </c>
      <c r="D353" s="16" t="inlineStr">
        <is>
          <t>UNILEVER ANDINA COLOMBIA LTDA</t>
        </is>
      </c>
      <c r="E353" s="16" t="n">
        <v>5009121281</v>
      </c>
      <c r="F353" s="16" t="inlineStr">
        <is>
          <t>16/09/2025</t>
        </is>
      </c>
      <c r="G353" s="16" t="n">
        <v>5100362174</v>
      </c>
      <c r="H353" s="16" t="inlineStr">
        <is>
          <t>Devolucion</t>
        </is>
      </c>
      <c r="I353" s="16" t="inlineStr">
        <is>
          <t>15/09/2025</t>
        </is>
      </c>
      <c r="J353" s="16" t="n">
        <v>0</v>
      </c>
      <c r="K353" s="17" t="n">
        <v>7343843</v>
      </c>
      <c r="L353" s="16" t="inlineStr">
        <is>
          <t>Cota</t>
        </is>
      </c>
      <c r="N353" s="18">
        <f>_xlfn.CONCAT(H353 &amp;" "&amp; E353)</f>
        <v/>
      </c>
      <c r="O353" s="18" t="inlineStr">
        <is>
          <t>AVERIAS</t>
        </is>
      </c>
    </row>
    <row r="354">
      <c r="A354" s="16" t="n">
        <v>1777</v>
      </c>
      <c r="B354" s="16" t="inlineStr">
        <is>
          <t>Pagado</t>
        </is>
      </c>
      <c r="C354" s="16" t="n">
        <v>860002518</v>
      </c>
      <c r="D354" s="16" t="inlineStr">
        <is>
          <t>UNILEVER ANDINA COLOMBIA LTDA</t>
        </is>
      </c>
      <c r="F354" s="16" t="inlineStr">
        <is>
          <t>17/09/2025</t>
        </is>
      </c>
      <c r="G354" s="16" t="n">
        <v>1700028771</v>
      </c>
      <c r="H354" s="16" t="inlineStr">
        <is>
          <t>Nota</t>
        </is>
      </c>
      <c r="I354" s="16" t="inlineStr">
        <is>
          <t>15/09/2025</t>
        </is>
      </c>
      <c r="J354" s="16" t="n">
        <v>0</v>
      </c>
      <c r="K354" s="17" t="n">
        <v>281159815</v>
      </c>
      <c r="L354" s="16" t="inlineStr">
        <is>
          <t>Cota</t>
        </is>
      </c>
      <c r="M354" s="16" t="inlineStr">
        <is>
          <t>PDI PRODUCTO DEL DÍA 1 Y 2 SEP 2025 UNILEVER</t>
        </is>
      </c>
      <c r="N354" s="18">
        <f>+M354</f>
        <v/>
      </c>
      <c r="O354" s="18" t="inlineStr">
        <is>
          <t>Ventas</t>
        </is>
      </c>
    </row>
    <row r="355">
      <c r="K355" s="17">
        <f>SUBTOTAL(9,K3:K354)</f>
        <v/>
      </c>
      <c r="N355" s="18">
        <f>+M355</f>
        <v/>
      </c>
    </row>
    <row r="356">
      <c r="K356" s="17">
        <f>+K355*2%</f>
        <v/>
      </c>
    </row>
  </sheetData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2025-09-24T20:38:54Z</dcterms:created>
  <dcterms:modified xsi:type="dcterms:W3CDTF">2025-09-24T20:38:57Z</dcterms:modified>
</cp:coreProperties>
</file>