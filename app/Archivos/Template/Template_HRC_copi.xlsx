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Template/"/>
    </mc:Choice>
  </mc:AlternateContent>
  <xr:revisionPtr revIDLastSave="9" documentId="11_D592ACE79A04DDB5DE57D7D4375BDA16F642D629" xr6:coauthVersionLast="47" xr6:coauthVersionMax="47" xr10:uidLastSave="{11081608-D720-4F7B-9F6A-54EFCD7BC85D}"/>
  <bookViews>
    <workbookView xWindow="-108" yWindow="-108" windowWidth="23256" windowHeight="12456" xr2:uid="{00000000-000D-0000-FFFF-FFFF00000000}"/>
  </bookViews>
  <sheets>
    <sheet name="Template" sheetId="1" r:id="rId1"/>
    <sheet name="Remitta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7" i="1"/>
  <c r="G6" i="1"/>
</calcChain>
</file>

<file path=xl/sharedStrings.xml><?xml version="1.0" encoding="utf-8"?>
<sst xmlns="http://schemas.openxmlformats.org/spreadsheetml/2006/main" count="457" uniqueCount="98">
  <si>
    <t>Desglose de Pago</t>
  </si>
  <si>
    <t>REFERENCIA DE PAGO</t>
  </si>
  <si>
    <t>Pagado</t>
  </si>
  <si>
    <t>CAMPOS NO EDITABLES</t>
  </si>
  <si>
    <t>Cliente</t>
  </si>
  <si>
    <t>COOP NAC DE DROG DETAL COPIDRO</t>
  </si>
  <si>
    <t>TOTAL s/ BANCOS</t>
  </si>
  <si>
    <t>TOTAL s/ DETALLE</t>
  </si>
  <si>
    <t>Codigo de Cliente</t>
  </si>
  <si>
    <t>DIFERENCIA</t>
  </si>
  <si>
    <t>Referencia</t>
  </si>
  <si>
    <t>Fecha</t>
  </si>
  <si>
    <t>Método de Pago</t>
  </si>
  <si>
    <t>Valor</t>
  </si>
  <si>
    <t>Transferencia</t>
  </si>
  <si>
    <t>Tipo de Documento</t>
  </si>
  <si>
    <t>Referencia / Factura</t>
  </si>
  <si>
    <t>Importe de factura</t>
  </si>
  <si>
    <t>Descuento</t>
  </si>
  <si>
    <t>Motivo del descuento</t>
  </si>
  <si>
    <t>Pago Neto</t>
  </si>
  <si>
    <t>Comentarios</t>
  </si>
  <si>
    <t>Factura</t>
  </si>
  <si>
    <t>PMP1280912</t>
  </si>
  <si>
    <t>PMP1280914</t>
  </si>
  <si>
    <t>PMP1280915</t>
  </si>
  <si>
    <t>PMP1280917</t>
  </si>
  <si>
    <t>PMP1280918</t>
  </si>
  <si>
    <t>PMP1282407</t>
  </si>
  <si>
    <t>PMP1282408</t>
  </si>
  <si>
    <t>PMP1282409</t>
  </si>
  <si>
    <t>PMP1282410</t>
  </si>
  <si>
    <t>PMP1282411</t>
  </si>
  <si>
    <t>PMP1282412</t>
  </si>
  <si>
    <t>PMP1282415</t>
  </si>
  <si>
    <t>PMP1282416</t>
  </si>
  <si>
    <t>PMP1282417</t>
  </si>
  <si>
    <t>Nota</t>
  </si>
  <si>
    <t>ACT COMERCIAL</t>
  </si>
  <si>
    <t>DESCUENTO</t>
  </si>
  <si>
    <t>FCR MEGSEM COT 10-30 AGO 2025</t>
  </si>
  <si>
    <t>FCR MEGSEM COT 4-30 AGO 2025 A</t>
  </si>
  <si>
    <t>nan</t>
  </si>
  <si>
    <t>FCR MEG SEM PAIS 10-30 AGO 2025 CPS</t>
  </si>
  <si>
    <t>C. UNILEVER</t>
  </si>
  <si>
    <t>DPP NO PROCEDE</t>
  </si>
  <si>
    <t>667</t>
  </si>
  <si>
    <t>DCTO 2.00% GLOBAL PAGO ANTICIPADO UNILEVER</t>
  </si>
  <si>
    <t>Reduc Factura Compra</t>
  </si>
  <si>
    <t>987</t>
  </si>
  <si>
    <t>Reduc Factura Compra PMP1280914</t>
  </si>
  <si>
    <t>Reduc Factura Compra PMP1280915</t>
  </si>
  <si>
    <t>Reduc Factura Compra PMP1280917</t>
  </si>
  <si>
    <t>Reduc Factura Compra PMP1280918</t>
  </si>
  <si>
    <t>Reduc Factura Compra PMP1282407</t>
  </si>
  <si>
    <t>Reduc Factura Compra PMP1282408</t>
  </si>
  <si>
    <t>Reduc Factura Compra PMP1282409</t>
  </si>
  <si>
    <t>Reduc Factura Compra PMP1282411</t>
  </si>
  <si>
    <t>Reduc Factura Compra PMP1282412</t>
  </si>
  <si>
    <t>Reduc Factura Compra PMP1282415</t>
  </si>
  <si>
    <t>Reduc Factura Compra PMP1282416</t>
  </si>
  <si>
    <t>Reduc Factura Compra PMP1282417</t>
  </si>
  <si>
    <t>Traslado Notas  Deudor acreedor</t>
  </si>
  <si>
    <t>TRASLADO DEUDOR</t>
  </si>
  <si>
    <t>FACT PROVEEDOR</t>
  </si>
  <si>
    <t>CSB</t>
  </si>
  <si>
    <t>Descuentos</t>
  </si>
  <si>
    <t>MENORES VALORES</t>
  </si>
  <si>
    <t>384</t>
  </si>
  <si>
    <t>WOB</t>
  </si>
  <si>
    <t>Facturas Pagadas
Proveedor: UNILEVER ANDINA COLOMBIA LTDA
Fecha  Reporte:  2025-09-18 12:50:42</t>
  </si>
  <si>
    <t>No.</t>
  </si>
  <si>
    <t>Estado</t>
  </si>
  <si>
    <t>Acreedor</t>
  </si>
  <si>
    <t>Nombre Acreedor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</si>
  <si>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</si>
  <si>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</si>
  <si>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</si>
  <si>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</si>
  <si>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</si>
  <si>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</si>
  <si>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</si>
  <si>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</si>
  <si>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</si>
  <si>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</si>
  <si>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UNILEVER ANDINA COLOMBIA LTDA</t>
  </si>
  <si>
    <t>24/09/2025</t>
  </si>
  <si>
    <t>27/08/2025</t>
  </si>
  <si>
    <t>Barranquilla</t>
  </si>
  <si>
    <t>Factura Acrededor</t>
  </si>
  <si>
    <t>03/09/2025</t>
  </si>
  <si>
    <t>Cota</t>
  </si>
  <si>
    <t>UNILEVER ANDINA COLOMBIA LTDA // CONCILIACIÓN</t>
  </si>
  <si>
    <t>UNILEVER ANDINA COLOMBIA LTDA/CONCILIACION</t>
  </si>
  <si>
    <t>23/09/2025</t>
  </si>
  <si>
    <t>0107848931</t>
  </si>
  <si>
    <t>TD 36164908-36164969-36164976</t>
  </si>
  <si>
    <t>25/092025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</si>
</sst>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2366"/>
        <bgColor rgb="FF002366"/>
      </patternFill>
    </fill>
    <fill>
      <patternFill patternType="solid">
        <fgColor rgb="FF1E90FF"/>
        <bgColor rgb="FF1E90FF"/>
      </patternFill>
    </fill>
    <fill>
      <patternFill patternType="solid">
        <fgColor rgb="FFFFFF00"/>
        <bgColor rgb="FF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2" fillId="4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4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top"/>
    </xf>
    <xf numFmtId="49" fontId="1" fillId="2" borderId="1" xfId="0" applyNumberFormat="1" applyFont="1" applyFill="1" applyBorder="1" applyAlignment="1">
      <alignment horizontal="center" vertical="top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4" fillId="0" borderId="0" xfId="0" applyFont="1"/>
    <xf numFmtId="0" fontId="4" fillId="6" borderId="0" xfId="0" applyFont="1" applyFill="1"/>
    <xf numFmtId="0" fontId="4" fillId="7" borderId="0" xfId="0" applyFont="1" applyFill="1"/>
    <xf numFmtId="0" fontId="5" fillId="0" borderId="0" xfId="0" applyFont="1" applyAlignment="1">
      <alignment horizontal="left"/>
    </xf>
    <xf numFmtId="43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3" fillId="5" borderId="0" xfId="0" applyFont="1" applyFill="1" applyAlignment="1">
      <alignment horizontal="center" vertical="center" wrapText="1"/>
    </xf>
    <xf numFmtId="0" fontId="0" fillId="0" borderId="0" xfId="0"/>
    <xf numFmtId="0" fontId="1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61"/>
  <sheetViews>
    <sheetView tabSelected="1" workbookViewId="0">
      <selection activeCell="D8" sqref="D8"/>
    </sheetView>
  </sheetViews>
  <sheetFormatPr defaultRowHeight="14.4" x14ac:dyDescent="0.3"/>
  <cols>
    <col min="1" max="2" width="2" customWidth="1"/>
    <col min="3" max="3" width="33" customWidth="1"/>
    <col min="4" max="4" width="32" customWidth="1"/>
    <col min="5" max="5" width="20" customWidth="1"/>
    <col min="6" max="6" width="18" customWidth="1"/>
    <col min="7" max="7" width="22" customWidth="1"/>
    <col min="8" max="8" width="17" customWidth="1"/>
    <col min="9" max="9" width="52" customWidth="1"/>
  </cols>
  <sheetData>
    <row r="2" spans="3:8" x14ac:dyDescent="0.3">
      <c r="C2" t="s">
        <v>0</v>
      </c>
      <c r="G2" s="1" t="s">
        <v>1</v>
      </c>
      <c r="H2" s="2" t="s">
        <v>2</v>
      </c>
    </row>
    <row r="4" spans="3:8" x14ac:dyDescent="0.3">
      <c r="C4" s="3" t="s">
        <v>3</v>
      </c>
    </row>
    <row r="6" spans="3:8" x14ac:dyDescent="0.3">
      <c r="C6" s="1" t="s">
        <v>4</v>
      </c>
      <c r="D6" s="3" t="s">
        <v>5</v>
      </c>
      <c r="F6" s="1" t="s">
        <v>6</v>
      </c>
      <c r="G6" s="4">
        <f>F12</f>
        <v>323942554</v>
      </c>
    </row>
    <row r="7" spans="3:8" x14ac:dyDescent="0.3">
      <c r="C7" s="1"/>
      <c r="D7" s="3"/>
      <c r="F7" s="1" t="s">
        <v>7</v>
      </c>
      <c r="G7" s="4">
        <f>SUM(H19:H49)</f>
        <v>323942554</v>
      </c>
    </row>
    <row r="8" spans="3:8" x14ac:dyDescent="0.3">
      <c r="C8" s="1" t="s">
        <v>8</v>
      </c>
      <c r="D8" s="19">
        <v>10267298</v>
      </c>
      <c r="F8" s="1" t="s">
        <v>9</v>
      </c>
      <c r="G8" s="4">
        <f>G6-G7</f>
        <v>0</v>
      </c>
    </row>
    <row r="11" spans="3:8" x14ac:dyDescent="0.3">
      <c r="C11" s="1" t="s">
        <v>10</v>
      </c>
      <c r="D11" s="1" t="s">
        <v>11</v>
      </c>
      <c r="E11" s="1" t="s">
        <v>12</v>
      </c>
      <c r="F11" s="1" t="s">
        <v>13</v>
      </c>
    </row>
    <row r="12" spans="3:8" x14ac:dyDescent="0.3">
      <c r="C12" t="s">
        <v>2</v>
      </c>
      <c r="D12" t="s">
        <v>97</v>
      </c>
      <c r="E12" t="s">
        <v>14</v>
      </c>
      <c r="F12" s="5">
        <v>323942554</v>
      </c>
    </row>
    <row r="18" spans="3:9" x14ac:dyDescent="0.3">
      <c r="C18" s="6" t="s">
        <v>15</v>
      </c>
      <c r="D18" s="6" t="s">
        <v>16</v>
      </c>
      <c r="E18" s="7" t="s">
        <v>17</v>
      </c>
      <c r="F18" s="6" t="s">
        <v>18</v>
      </c>
      <c r="G18" s="6" t="s">
        <v>19</v>
      </c>
      <c r="H18" s="7" t="s">
        <v>20</v>
      </c>
      <c r="I18" s="8" t="s">
        <v>21</v>
      </c>
    </row>
    <row r="19" spans="3:9" x14ac:dyDescent="0.3">
      <c r="C19" s="9" t="s">
        <v>22</v>
      </c>
      <c r="D19" s="9" t="s">
        <v>23</v>
      </c>
      <c r="E19" s="5">
        <v>956619</v>
      </c>
      <c r="F19" s="9"/>
      <c r="G19" s="9"/>
      <c r="H19" s="5">
        <v>956619</v>
      </c>
      <c r="I19" s="10"/>
    </row>
    <row r="20" spans="3:9" x14ac:dyDescent="0.3">
      <c r="C20" s="9" t="s">
        <v>22</v>
      </c>
      <c r="D20" s="9" t="s">
        <v>24</v>
      </c>
      <c r="E20" s="5">
        <v>6664808</v>
      </c>
      <c r="F20" s="9"/>
      <c r="G20" s="9"/>
      <c r="H20" s="5">
        <v>6664808</v>
      </c>
      <c r="I20" s="10"/>
    </row>
    <row r="21" spans="3:9" x14ac:dyDescent="0.3">
      <c r="C21" s="9" t="s">
        <v>22</v>
      </c>
      <c r="D21" s="9" t="s">
        <v>25</v>
      </c>
      <c r="E21" s="5">
        <v>2904807</v>
      </c>
      <c r="F21" s="9"/>
      <c r="G21" s="9"/>
      <c r="H21" s="5">
        <v>2904807</v>
      </c>
      <c r="I21" s="10"/>
    </row>
    <row r="22" spans="3:9" x14ac:dyDescent="0.3">
      <c r="C22" s="9" t="s">
        <v>22</v>
      </c>
      <c r="D22" s="9" t="s">
        <v>26</v>
      </c>
      <c r="E22" s="5">
        <v>12675696</v>
      </c>
      <c r="F22" s="9"/>
      <c r="G22" s="9"/>
      <c r="H22" s="5">
        <v>12675696</v>
      </c>
      <c r="I22" s="10"/>
    </row>
    <row r="23" spans="3:9" x14ac:dyDescent="0.3">
      <c r="C23" s="9" t="s">
        <v>22</v>
      </c>
      <c r="D23" s="9" t="s">
        <v>27</v>
      </c>
      <c r="E23" s="5">
        <v>33587149</v>
      </c>
      <c r="F23" s="9"/>
      <c r="G23" s="9"/>
      <c r="H23" s="5">
        <v>33587149</v>
      </c>
      <c r="I23" s="10"/>
    </row>
    <row r="24" spans="3:9" x14ac:dyDescent="0.3">
      <c r="C24" s="9" t="s">
        <v>22</v>
      </c>
      <c r="D24" s="9" t="s">
        <v>28</v>
      </c>
      <c r="E24" s="5">
        <v>75473016</v>
      </c>
      <c r="F24" s="9"/>
      <c r="G24" s="9"/>
      <c r="H24" s="5">
        <v>75473016</v>
      </c>
      <c r="I24" s="10"/>
    </row>
    <row r="25" spans="3:9" x14ac:dyDescent="0.3">
      <c r="C25" s="9" t="s">
        <v>22</v>
      </c>
      <c r="D25" s="9" t="s">
        <v>29</v>
      </c>
      <c r="E25" s="5">
        <v>23442473</v>
      </c>
      <c r="F25" s="9"/>
      <c r="G25" s="9"/>
      <c r="H25" s="5">
        <v>23442473</v>
      </c>
      <c r="I25" s="10"/>
    </row>
    <row r="26" spans="3:9" x14ac:dyDescent="0.3">
      <c r="C26" s="9" t="s">
        <v>22</v>
      </c>
      <c r="D26" s="9" t="s">
        <v>30</v>
      </c>
      <c r="E26" s="5">
        <v>47933755</v>
      </c>
      <c r="F26" s="9"/>
      <c r="G26" s="9"/>
      <c r="H26" s="5">
        <v>47933755</v>
      </c>
      <c r="I26" s="10"/>
    </row>
    <row r="27" spans="3:9" x14ac:dyDescent="0.3">
      <c r="C27" s="9" t="s">
        <v>22</v>
      </c>
      <c r="D27" s="9" t="s">
        <v>31</v>
      </c>
      <c r="E27" s="5">
        <v>900649</v>
      </c>
      <c r="F27" s="9"/>
      <c r="G27" s="9"/>
      <c r="H27" s="5">
        <v>900649</v>
      </c>
      <c r="I27" s="10"/>
    </row>
    <row r="28" spans="3:9" x14ac:dyDescent="0.3">
      <c r="C28" s="9" t="s">
        <v>22</v>
      </c>
      <c r="D28" s="9" t="s">
        <v>32</v>
      </c>
      <c r="E28" s="5">
        <v>38780386</v>
      </c>
      <c r="F28" s="9"/>
      <c r="G28" s="9"/>
      <c r="H28" s="5">
        <v>38780386</v>
      </c>
      <c r="I28" s="10"/>
    </row>
    <row r="29" spans="3:9" x14ac:dyDescent="0.3">
      <c r="C29" s="9" t="s">
        <v>22</v>
      </c>
      <c r="D29" s="9" t="s">
        <v>33</v>
      </c>
      <c r="E29" s="5">
        <v>123454295</v>
      </c>
      <c r="F29" s="9"/>
      <c r="G29" s="9"/>
      <c r="H29" s="5">
        <v>123454295</v>
      </c>
      <c r="I29" s="10"/>
    </row>
    <row r="30" spans="3:9" x14ac:dyDescent="0.3">
      <c r="C30" s="9" t="s">
        <v>22</v>
      </c>
      <c r="D30" s="9" t="s">
        <v>34</v>
      </c>
      <c r="E30" s="5">
        <v>68978368</v>
      </c>
      <c r="F30" s="9"/>
      <c r="G30" s="9"/>
      <c r="H30" s="5">
        <v>68978368</v>
      </c>
      <c r="I30" s="10"/>
    </row>
    <row r="31" spans="3:9" x14ac:dyDescent="0.3">
      <c r="C31" s="9" t="s">
        <v>22</v>
      </c>
      <c r="D31" s="9" t="s">
        <v>35</v>
      </c>
      <c r="E31" s="5">
        <v>50836218</v>
      </c>
      <c r="F31" s="9"/>
      <c r="G31" s="9"/>
      <c r="H31" s="5">
        <v>50836218</v>
      </c>
      <c r="I31" s="10"/>
    </row>
    <row r="32" spans="3:9" x14ac:dyDescent="0.3">
      <c r="C32" s="9" t="s">
        <v>22</v>
      </c>
      <c r="D32" s="9" t="s">
        <v>36</v>
      </c>
      <c r="E32" s="5">
        <v>67654945</v>
      </c>
      <c r="F32" s="9"/>
      <c r="G32" s="9"/>
      <c r="H32" s="5">
        <v>67654945</v>
      </c>
      <c r="I32" s="10"/>
    </row>
    <row r="33" spans="3:9" x14ac:dyDescent="0.3">
      <c r="C33" s="9" t="s">
        <v>37</v>
      </c>
      <c r="D33" s="9" t="s">
        <v>38</v>
      </c>
      <c r="E33" s="5">
        <v>-24396053</v>
      </c>
      <c r="F33" s="9" t="s">
        <v>39</v>
      </c>
      <c r="G33" s="9">
        <v>987</v>
      </c>
      <c r="H33" s="5">
        <v>-24396053</v>
      </c>
      <c r="I33" s="10" t="s">
        <v>40</v>
      </c>
    </row>
    <row r="34" spans="3:9" x14ac:dyDescent="0.3">
      <c r="C34" s="9" t="s">
        <v>37</v>
      </c>
      <c r="D34" s="9" t="s">
        <v>38</v>
      </c>
      <c r="E34" s="5">
        <v>-25500117</v>
      </c>
      <c r="F34" s="9" t="s">
        <v>39</v>
      </c>
      <c r="G34" s="9">
        <v>987</v>
      </c>
      <c r="H34" s="5">
        <v>-25500117</v>
      </c>
      <c r="I34" s="10" t="s">
        <v>41</v>
      </c>
    </row>
    <row r="35" spans="3:9" x14ac:dyDescent="0.3">
      <c r="C35" s="9" t="s">
        <v>37</v>
      </c>
      <c r="D35" s="9" t="s">
        <v>42</v>
      </c>
      <c r="E35" s="5">
        <v>-52403602</v>
      </c>
      <c r="F35" s="9" t="s">
        <v>39</v>
      </c>
      <c r="G35" s="9">
        <v>987</v>
      </c>
      <c r="H35" s="5">
        <v>-52403602</v>
      </c>
      <c r="I35" s="10" t="s">
        <v>43</v>
      </c>
    </row>
    <row r="36" spans="3:9" x14ac:dyDescent="0.3">
      <c r="C36" s="9" t="s">
        <v>37</v>
      </c>
      <c r="D36" s="9" t="s">
        <v>44</v>
      </c>
      <c r="E36" s="5">
        <v>-7432616</v>
      </c>
      <c r="F36" s="9" t="s">
        <v>45</v>
      </c>
      <c r="G36" s="9" t="s">
        <v>46</v>
      </c>
      <c r="H36" s="5">
        <v>-7432616</v>
      </c>
      <c r="I36" s="10" t="s">
        <v>47</v>
      </c>
    </row>
    <row r="37" spans="3:9" x14ac:dyDescent="0.3">
      <c r="C37" s="9" t="s">
        <v>48</v>
      </c>
      <c r="D37" s="9" t="s">
        <v>24</v>
      </c>
      <c r="E37" s="5">
        <v>-2354256</v>
      </c>
      <c r="F37" s="9" t="s">
        <v>39</v>
      </c>
      <c r="G37" s="9" t="s">
        <v>49</v>
      </c>
      <c r="H37" s="5">
        <v>-2354256</v>
      </c>
      <c r="I37" s="10" t="s">
        <v>50</v>
      </c>
    </row>
    <row r="38" spans="3:9" x14ac:dyDescent="0.3">
      <c r="C38" s="9" t="s">
        <v>48</v>
      </c>
      <c r="D38" s="9" t="s">
        <v>25</v>
      </c>
      <c r="E38" s="5">
        <v>-1161934</v>
      </c>
      <c r="F38" s="9" t="s">
        <v>39</v>
      </c>
      <c r="G38" s="9" t="s">
        <v>49</v>
      </c>
      <c r="H38" s="5">
        <v>-1161934</v>
      </c>
      <c r="I38" s="10" t="s">
        <v>51</v>
      </c>
    </row>
    <row r="39" spans="3:9" x14ac:dyDescent="0.3">
      <c r="C39" s="9" t="s">
        <v>48</v>
      </c>
      <c r="D39" s="9" t="s">
        <v>26</v>
      </c>
      <c r="E39" s="5">
        <v>-5070589</v>
      </c>
      <c r="F39" s="9" t="s">
        <v>39</v>
      </c>
      <c r="G39" s="9" t="s">
        <v>49</v>
      </c>
      <c r="H39" s="5">
        <v>-5070589</v>
      </c>
      <c r="I39" s="10" t="s">
        <v>52</v>
      </c>
    </row>
    <row r="40" spans="3:9" x14ac:dyDescent="0.3">
      <c r="C40" s="9" t="s">
        <v>48</v>
      </c>
      <c r="D40" s="9" t="s">
        <v>27</v>
      </c>
      <c r="E40" s="5">
        <v>-5038863</v>
      </c>
      <c r="F40" s="9" t="s">
        <v>39</v>
      </c>
      <c r="G40" s="9" t="s">
        <v>49</v>
      </c>
      <c r="H40" s="5">
        <v>-5038863</v>
      </c>
      <c r="I40" s="10" t="s">
        <v>53</v>
      </c>
    </row>
    <row r="41" spans="3:9" x14ac:dyDescent="0.3">
      <c r="C41" s="9" t="s">
        <v>48</v>
      </c>
      <c r="D41" s="9" t="s">
        <v>28</v>
      </c>
      <c r="E41" s="5">
        <v>-1359799</v>
      </c>
      <c r="F41" s="9" t="s">
        <v>39</v>
      </c>
      <c r="G41" s="9" t="s">
        <v>49</v>
      </c>
      <c r="H41" s="5">
        <v>-1359799</v>
      </c>
      <c r="I41" s="10" t="s">
        <v>54</v>
      </c>
    </row>
    <row r="42" spans="3:9" x14ac:dyDescent="0.3">
      <c r="C42" s="9" t="s">
        <v>48</v>
      </c>
      <c r="D42" s="9" t="s">
        <v>29</v>
      </c>
      <c r="E42" s="5">
        <v>-767748</v>
      </c>
      <c r="F42" s="9" t="s">
        <v>39</v>
      </c>
      <c r="G42" s="9" t="s">
        <v>49</v>
      </c>
      <c r="H42" s="5">
        <v>-767748</v>
      </c>
      <c r="I42" s="10" t="s">
        <v>55</v>
      </c>
    </row>
    <row r="43" spans="3:9" x14ac:dyDescent="0.3">
      <c r="C43" s="9" t="s">
        <v>48</v>
      </c>
      <c r="D43" s="9" t="s">
        <v>30</v>
      </c>
      <c r="E43" s="5">
        <v>-581114</v>
      </c>
      <c r="F43" s="9" t="s">
        <v>39</v>
      </c>
      <c r="G43" s="9" t="s">
        <v>49</v>
      </c>
      <c r="H43" s="5">
        <v>-581114</v>
      </c>
      <c r="I43" s="10" t="s">
        <v>56</v>
      </c>
    </row>
    <row r="44" spans="3:9" x14ac:dyDescent="0.3">
      <c r="C44" s="9" t="s">
        <v>48</v>
      </c>
      <c r="D44" s="9" t="s">
        <v>32</v>
      </c>
      <c r="E44" s="5">
        <v>-884601</v>
      </c>
      <c r="F44" s="9" t="s">
        <v>39</v>
      </c>
      <c r="G44" s="9" t="s">
        <v>49</v>
      </c>
      <c r="H44" s="5">
        <v>-884601</v>
      </c>
      <c r="I44" s="10" t="s">
        <v>57</v>
      </c>
    </row>
    <row r="45" spans="3:9" x14ac:dyDescent="0.3">
      <c r="C45" s="9" t="s">
        <v>48</v>
      </c>
      <c r="D45" s="9" t="s">
        <v>33</v>
      </c>
      <c r="E45" s="5">
        <v>-49382170</v>
      </c>
      <c r="F45" s="9" t="s">
        <v>39</v>
      </c>
      <c r="G45" s="9" t="s">
        <v>49</v>
      </c>
      <c r="H45" s="5">
        <v>-49382170</v>
      </c>
      <c r="I45" s="10" t="s">
        <v>58</v>
      </c>
    </row>
    <row r="46" spans="3:9" x14ac:dyDescent="0.3">
      <c r="C46" s="9" t="s">
        <v>48</v>
      </c>
      <c r="D46" s="9" t="s">
        <v>34</v>
      </c>
      <c r="E46" s="5">
        <v>-24143415</v>
      </c>
      <c r="F46" s="9" t="s">
        <v>39</v>
      </c>
      <c r="G46" s="9" t="s">
        <v>49</v>
      </c>
      <c r="H46" s="5">
        <v>-24143415</v>
      </c>
      <c r="I46" s="10" t="s">
        <v>59</v>
      </c>
    </row>
    <row r="47" spans="3:9" x14ac:dyDescent="0.3">
      <c r="C47" s="9" t="s">
        <v>48</v>
      </c>
      <c r="D47" s="9" t="s">
        <v>35</v>
      </c>
      <c r="E47" s="5">
        <v>-20335730</v>
      </c>
      <c r="F47" s="9" t="s">
        <v>39</v>
      </c>
      <c r="G47" s="9" t="s">
        <v>49</v>
      </c>
      <c r="H47" s="5">
        <v>-20335730</v>
      </c>
      <c r="I47" s="10" t="s">
        <v>60</v>
      </c>
    </row>
    <row r="48" spans="3:9" x14ac:dyDescent="0.3">
      <c r="C48" s="9" t="s">
        <v>48</v>
      </c>
      <c r="D48" s="9" t="s">
        <v>36</v>
      </c>
      <c r="E48" s="5">
        <v>-922315</v>
      </c>
      <c r="F48" s="9" t="s">
        <v>39</v>
      </c>
      <c r="G48" s="9" t="s">
        <v>49</v>
      </c>
      <c r="H48" s="5">
        <v>-922315</v>
      </c>
      <c r="I48" s="10" t="s">
        <v>61</v>
      </c>
    </row>
    <row r="49" spans="3:9" x14ac:dyDescent="0.3">
      <c r="C49" s="9" t="s">
        <v>62</v>
      </c>
      <c r="D49" s="9" t="s">
        <v>63</v>
      </c>
      <c r="E49" s="5">
        <v>-8565708</v>
      </c>
      <c r="F49" s="9" t="s">
        <v>64</v>
      </c>
      <c r="G49" s="9" t="s">
        <v>65</v>
      </c>
      <c r="H49" s="5">
        <v>-8565708</v>
      </c>
      <c r="I49" s="14" t="s">
        <v>96</v>
      </c>
    </row>
    <row r="50" spans="3:9" x14ac:dyDescent="0.3">
      <c r="C50" s="9" t="s">
        <v>66</v>
      </c>
      <c r="D50" s="9" t="s">
        <v>23</v>
      </c>
      <c r="E50" s="5">
        <v>1</v>
      </c>
      <c r="F50" s="9" t="s">
        <v>67</v>
      </c>
      <c r="G50" s="9" t="s">
        <v>68</v>
      </c>
      <c r="H50" s="5">
        <v>1</v>
      </c>
      <c r="I50" s="10" t="s">
        <v>67</v>
      </c>
    </row>
    <row r="51" spans="3:9" x14ac:dyDescent="0.3">
      <c r="C51" s="9" t="s">
        <v>66</v>
      </c>
      <c r="D51" s="9" t="s">
        <v>24</v>
      </c>
      <c r="E51" s="5">
        <v>0.16000000014901161</v>
      </c>
      <c r="F51" s="9" t="s">
        <v>67</v>
      </c>
      <c r="G51" s="9" t="s">
        <v>68</v>
      </c>
      <c r="H51" s="5">
        <v>0.16000000014901161</v>
      </c>
      <c r="I51" s="10" t="s">
        <v>67</v>
      </c>
    </row>
    <row r="52" spans="3:9" x14ac:dyDescent="0.3">
      <c r="C52" s="9" t="s">
        <v>66</v>
      </c>
      <c r="D52" s="9" t="s">
        <v>25</v>
      </c>
      <c r="E52" s="5">
        <v>1</v>
      </c>
      <c r="F52" s="9" t="s">
        <v>67</v>
      </c>
      <c r="G52" s="9" t="s">
        <v>68</v>
      </c>
      <c r="H52" s="5">
        <v>1</v>
      </c>
      <c r="I52" s="10" t="s">
        <v>67</v>
      </c>
    </row>
    <row r="53" spans="3:9" x14ac:dyDescent="0.3">
      <c r="C53" s="9" t="s">
        <v>66</v>
      </c>
      <c r="D53" s="9" t="s">
        <v>26</v>
      </c>
      <c r="E53" s="5">
        <v>1</v>
      </c>
      <c r="F53" s="9" t="s">
        <v>67</v>
      </c>
      <c r="G53" s="9" t="s">
        <v>68</v>
      </c>
      <c r="H53" s="5">
        <v>1</v>
      </c>
      <c r="I53" s="10" t="s">
        <v>67</v>
      </c>
    </row>
    <row r="54" spans="3:9" x14ac:dyDescent="0.3">
      <c r="C54" s="9" t="s">
        <v>66</v>
      </c>
      <c r="D54" s="9" t="s">
        <v>27</v>
      </c>
      <c r="E54" s="5">
        <v>3.9999999105930328E-2</v>
      </c>
      <c r="F54" s="9" t="s">
        <v>67</v>
      </c>
      <c r="G54" s="9" t="s">
        <v>68</v>
      </c>
      <c r="H54" s="5">
        <v>3.9999999105930328E-2</v>
      </c>
      <c r="I54" s="10" t="s">
        <v>67</v>
      </c>
    </row>
    <row r="55" spans="3:9" x14ac:dyDescent="0.3">
      <c r="C55" s="9" t="s">
        <v>66</v>
      </c>
      <c r="D55" s="9" t="s">
        <v>29</v>
      </c>
      <c r="E55" s="5">
        <v>0.51999999955296516</v>
      </c>
      <c r="F55" s="9" t="s">
        <v>67</v>
      </c>
      <c r="G55" s="9" t="s">
        <v>68</v>
      </c>
      <c r="H55" s="5">
        <v>0.51999999955296516</v>
      </c>
      <c r="I55" s="10" t="s">
        <v>67</v>
      </c>
    </row>
    <row r="56" spans="3:9" x14ac:dyDescent="0.3">
      <c r="C56" s="9" t="s">
        <v>66</v>
      </c>
      <c r="D56" s="9" t="s">
        <v>30</v>
      </c>
      <c r="E56" s="5">
        <v>1.2800000011920929</v>
      </c>
      <c r="F56" s="9" t="s">
        <v>67</v>
      </c>
      <c r="G56" s="9" t="s">
        <v>68</v>
      </c>
      <c r="H56" s="5">
        <v>1.2800000011920929</v>
      </c>
      <c r="I56" s="10" t="s">
        <v>67</v>
      </c>
    </row>
    <row r="57" spans="3:9" x14ac:dyDescent="0.3">
      <c r="C57" s="9" t="s">
        <v>66</v>
      </c>
      <c r="D57" s="9" t="s">
        <v>31</v>
      </c>
      <c r="E57" s="5">
        <v>9.9999999976716936E-2</v>
      </c>
      <c r="F57" s="9" t="s">
        <v>67</v>
      </c>
      <c r="G57" s="9" t="s">
        <v>68</v>
      </c>
      <c r="H57" s="5">
        <v>9.9999999976716936E-2</v>
      </c>
      <c r="I57" s="10" t="s">
        <v>67</v>
      </c>
    </row>
    <row r="58" spans="3:9" x14ac:dyDescent="0.3">
      <c r="C58" s="9" t="s">
        <v>66</v>
      </c>
      <c r="D58" s="9" t="s">
        <v>32</v>
      </c>
      <c r="E58" s="5">
        <v>1</v>
      </c>
      <c r="F58" s="9" t="s">
        <v>67</v>
      </c>
      <c r="G58" s="9" t="s">
        <v>68</v>
      </c>
      <c r="H58" s="5">
        <v>1</v>
      </c>
      <c r="I58" s="10" t="s">
        <v>67</v>
      </c>
    </row>
    <row r="59" spans="3:9" x14ac:dyDescent="0.3">
      <c r="C59" s="9" t="s">
        <v>66</v>
      </c>
      <c r="D59" s="9" t="s">
        <v>36</v>
      </c>
      <c r="E59" s="5">
        <v>0.76000000536441803</v>
      </c>
      <c r="F59" s="9" t="s">
        <v>67</v>
      </c>
      <c r="G59" s="9" t="s">
        <v>68</v>
      </c>
      <c r="H59" s="5">
        <v>0.76000000536441803</v>
      </c>
      <c r="I59" s="10" t="s">
        <v>67</v>
      </c>
    </row>
    <row r="60" spans="3:9" x14ac:dyDescent="0.3">
      <c r="C60" s="9" t="s">
        <v>66</v>
      </c>
      <c r="D60" s="9" t="s">
        <v>28</v>
      </c>
      <c r="E60" s="5">
        <v>-0.40000000596046448</v>
      </c>
      <c r="F60" s="9" t="s">
        <v>67</v>
      </c>
      <c r="G60" s="9" t="s">
        <v>69</v>
      </c>
      <c r="H60" s="5">
        <v>-0.40000000596046448</v>
      </c>
      <c r="I60" s="10" t="s">
        <v>67</v>
      </c>
    </row>
    <row r="61" spans="3:9" x14ac:dyDescent="0.3">
      <c r="C61" s="9" t="s">
        <v>66</v>
      </c>
      <c r="D61" s="9" t="s">
        <v>34</v>
      </c>
      <c r="E61" s="5">
        <v>-7.9999998211860657E-2</v>
      </c>
      <c r="F61" s="9" t="s">
        <v>67</v>
      </c>
      <c r="G61" s="9" t="s">
        <v>69</v>
      </c>
      <c r="H61" s="5">
        <v>-7.9999998211860657E-2</v>
      </c>
      <c r="I61" s="10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"/>
  <sheetViews>
    <sheetView zoomScale="70" zoomScaleNormal="70" workbookViewId="0">
      <selection activeCell="M12" sqref="M12"/>
    </sheetView>
  </sheetViews>
  <sheetFormatPr defaultRowHeight="14.4" x14ac:dyDescent="0.3"/>
  <cols>
    <col min="1" max="1" width="12.77734375" customWidth="1"/>
    <col min="2" max="2" width="8.77734375" customWidth="1"/>
    <col min="3" max="3" width="24.77734375" customWidth="1"/>
    <col min="4" max="4" width="35.21875" customWidth="1"/>
    <col min="5" max="5" width="18.77734375" customWidth="1"/>
    <col min="6" max="6" width="13.77734375" customWidth="1"/>
    <col min="7" max="7" width="17.77734375" customWidth="1"/>
    <col min="8" max="8" width="15.5546875" customWidth="1"/>
    <col min="9" max="9" width="12.77734375" customWidth="1"/>
    <col min="10" max="10" width="22.77734375" customWidth="1"/>
    <col min="11" max="11" width="17.77734375" customWidth="1"/>
    <col min="12" max="12" width="17.5546875" customWidth="1"/>
    <col min="13" max="13" width="46.44140625" customWidth="1"/>
    <col min="14" max="14" width="35.5546875" customWidth="1"/>
    <col min="15" max="15" width="16.88671875" customWidth="1"/>
    <col min="16" max="16" width="8.77734375" customWidth="1"/>
  </cols>
  <sheetData>
    <row r="1" spans="1:15" ht="49.95" customHeight="1" x14ac:dyDescent="0.3">
      <c r="A1" s="17" t="s">
        <v>70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5" ht="15.6" customHeight="1" x14ac:dyDescent="0.3">
      <c r="A2" s="11" t="s">
        <v>71</v>
      </c>
      <c r="B2" s="11" t="s">
        <v>72</v>
      </c>
      <c r="C2" s="11" t="s">
        <v>73</v>
      </c>
      <c r="D2" s="11" t="s">
        <v>74</v>
      </c>
      <c r="E2" s="12" t="s">
        <v>10</v>
      </c>
      <c r="F2" s="11" t="s">
        <v>75</v>
      </c>
      <c r="G2" s="11" t="s">
        <v>76</v>
      </c>
      <c r="H2" s="12" t="s">
        <v>77</v>
      </c>
      <c r="I2" s="11" t="s">
        <v>78</v>
      </c>
      <c r="J2" s="11" t="s">
        <v>79</v>
      </c>
      <c r="K2" s="12" t="s">
        <v>80</v>
      </c>
      <c r="L2" s="11" t="s">
        <v>81</v>
      </c>
      <c r="M2" s="11" t="s">
        <v>82</v>
      </c>
      <c r="N2" s="13" t="s">
        <v>83</v>
      </c>
      <c r="O2" s="13" t="s">
        <v>84</v>
      </c>
    </row>
    <row r="3" spans="1:15" x14ac:dyDescent="0.3">
      <c r="A3" s="14">
        <v>331</v>
      </c>
      <c r="B3" s="14" t="s">
        <v>2</v>
      </c>
      <c r="C3" s="14">
        <v>860002518</v>
      </c>
      <c r="D3" s="14" t="s">
        <v>85</v>
      </c>
      <c r="E3" s="14" t="s">
        <v>26</v>
      </c>
      <c r="F3" s="14" t="s">
        <v>86</v>
      </c>
      <c r="G3" s="14">
        <v>5100351507</v>
      </c>
      <c r="H3" s="14" t="s">
        <v>48</v>
      </c>
      <c r="I3" s="14" t="s">
        <v>87</v>
      </c>
      <c r="J3" s="14">
        <v>0</v>
      </c>
      <c r="K3" s="15">
        <v>5070589</v>
      </c>
      <c r="L3" s="14" t="s">
        <v>88</v>
      </c>
      <c r="M3" s="14" t="s">
        <v>85</v>
      </c>
      <c r="N3" s="16"/>
      <c r="O3" s="16"/>
    </row>
    <row r="4" spans="1:15" x14ac:dyDescent="0.3">
      <c r="A4" s="14">
        <v>332</v>
      </c>
      <c r="B4" s="14" t="s">
        <v>2</v>
      </c>
      <c r="C4" s="14">
        <v>860002518</v>
      </c>
      <c r="D4" s="14" t="s">
        <v>85</v>
      </c>
      <c r="E4" s="14" t="s">
        <v>23</v>
      </c>
      <c r="F4" s="14" t="s">
        <v>86</v>
      </c>
      <c r="G4" s="14">
        <v>5100351500</v>
      </c>
      <c r="H4" s="14" t="s">
        <v>89</v>
      </c>
      <c r="I4" s="14" t="s">
        <v>87</v>
      </c>
      <c r="J4" s="14">
        <v>0</v>
      </c>
      <c r="K4" s="15">
        <v>-956619</v>
      </c>
      <c r="L4" s="14" t="s">
        <v>88</v>
      </c>
      <c r="M4" s="14" t="s">
        <v>85</v>
      </c>
      <c r="N4" s="16"/>
      <c r="O4" s="16"/>
    </row>
    <row r="5" spans="1:15" x14ac:dyDescent="0.3">
      <c r="A5" s="14">
        <v>333</v>
      </c>
      <c r="B5" s="14" t="s">
        <v>2</v>
      </c>
      <c r="C5" s="14">
        <v>860002518</v>
      </c>
      <c r="D5" s="14" t="s">
        <v>85</v>
      </c>
      <c r="E5" s="14" t="s">
        <v>26</v>
      </c>
      <c r="F5" s="14" t="s">
        <v>86</v>
      </c>
      <c r="G5" s="14">
        <v>5100351506</v>
      </c>
      <c r="H5" s="14" t="s">
        <v>89</v>
      </c>
      <c r="I5" s="14" t="s">
        <v>87</v>
      </c>
      <c r="J5" s="14">
        <v>0</v>
      </c>
      <c r="K5" s="15">
        <v>-12675696</v>
      </c>
      <c r="L5" s="14" t="s">
        <v>88</v>
      </c>
      <c r="M5" s="14" t="s">
        <v>85</v>
      </c>
      <c r="N5" s="16"/>
      <c r="O5" s="16"/>
    </row>
    <row r="6" spans="1:15" x14ac:dyDescent="0.3">
      <c r="A6" s="14">
        <v>343</v>
      </c>
      <c r="B6" s="14" t="s">
        <v>2</v>
      </c>
      <c r="C6" s="14">
        <v>860002518</v>
      </c>
      <c r="D6" s="14" t="s">
        <v>85</v>
      </c>
      <c r="E6" s="14" t="s">
        <v>32</v>
      </c>
      <c r="F6" s="14" t="s">
        <v>86</v>
      </c>
      <c r="G6" s="14">
        <v>5100352639</v>
      </c>
      <c r="H6" s="14" t="s">
        <v>89</v>
      </c>
      <c r="I6" s="14" t="s">
        <v>90</v>
      </c>
      <c r="J6" s="14">
        <v>0</v>
      </c>
      <c r="K6" s="15">
        <v>-38780386</v>
      </c>
      <c r="L6" s="14" t="s">
        <v>91</v>
      </c>
      <c r="M6" s="14" t="s">
        <v>92</v>
      </c>
      <c r="N6" s="16"/>
      <c r="O6" s="16"/>
    </row>
    <row r="7" spans="1:15" x14ac:dyDescent="0.3">
      <c r="A7" s="14">
        <v>345</v>
      </c>
      <c r="B7" s="14" t="s">
        <v>2</v>
      </c>
      <c r="C7" s="14">
        <v>860002518</v>
      </c>
      <c r="D7" s="14" t="s">
        <v>85</v>
      </c>
      <c r="E7" s="14" t="s">
        <v>32</v>
      </c>
      <c r="F7" s="14" t="s">
        <v>86</v>
      </c>
      <c r="G7" s="14">
        <v>5100352640</v>
      </c>
      <c r="H7" s="14" t="s">
        <v>48</v>
      </c>
      <c r="I7" s="14" t="s">
        <v>90</v>
      </c>
      <c r="J7" s="14">
        <v>0</v>
      </c>
      <c r="K7" s="15">
        <v>884601</v>
      </c>
      <c r="L7" s="14" t="s">
        <v>91</v>
      </c>
      <c r="M7" s="14" t="s">
        <v>92</v>
      </c>
      <c r="N7" s="16"/>
      <c r="O7" s="16"/>
    </row>
    <row r="8" spans="1:15" x14ac:dyDescent="0.3">
      <c r="A8" s="14">
        <v>346</v>
      </c>
      <c r="B8" s="14" t="s">
        <v>2</v>
      </c>
      <c r="C8" s="14">
        <v>860002518</v>
      </c>
      <c r="D8" s="14" t="s">
        <v>85</v>
      </c>
      <c r="E8" s="14" t="s">
        <v>35</v>
      </c>
      <c r="F8" s="14" t="s">
        <v>86</v>
      </c>
      <c r="G8" s="14">
        <v>5100352892</v>
      </c>
      <c r="H8" s="14" t="s">
        <v>89</v>
      </c>
      <c r="I8" s="14" t="s">
        <v>90</v>
      </c>
      <c r="J8" s="14">
        <v>0</v>
      </c>
      <c r="K8" s="15">
        <v>-50836218</v>
      </c>
      <c r="L8" s="14" t="s">
        <v>91</v>
      </c>
      <c r="M8" s="16" t="s">
        <v>93</v>
      </c>
      <c r="N8" s="16"/>
      <c r="O8" s="16"/>
    </row>
    <row r="9" spans="1:15" x14ac:dyDescent="0.3">
      <c r="A9" s="14">
        <v>347</v>
      </c>
      <c r="B9" s="14" t="s">
        <v>2</v>
      </c>
      <c r="C9" s="14">
        <v>860002518</v>
      </c>
      <c r="D9" s="14" t="s">
        <v>85</v>
      </c>
      <c r="E9" s="14" t="s">
        <v>35</v>
      </c>
      <c r="F9" s="14" t="s">
        <v>86</v>
      </c>
      <c r="G9" s="14">
        <v>5100352893</v>
      </c>
      <c r="H9" s="14" t="s">
        <v>48</v>
      </c>
      <c r="I9" s="14" t="s">
        <v>90</v>
      </c>
      <c r="J9" s="14">
        <v>0</v>
      </c>
      <c r="K9" s="15">
        <v>20335730</v>
      </c>
      <c r="L9" s="14" t="s">
        <v>91</v>
      </c>
      <c r="M9" s="14" t="s">
        <v>93</v>
      </c>
      <c r="N9" s="16"/>
      <c r="O9" s="16"/>
    </row>
    <row r="10" spans="1:15" x14ac:dyDescent="0.3">
      <c r="A10" s="14">
        <v>377</v>
      </c>
      <c r="B10" s="14" t="s">
        <v>2</v>
      </c>
      <c r="C10" s="14">
        <v>860002518</v>
      </c>
      <c r="D10" s="14" t="s">
        <v>85</v>
      </c>
      <c r="E10" s="14" t="s">
        <v>38</v>
      </c>
      <c r="F10" s="14" t="s">
        <v>86</v>
      </c>
      <c r="G10" s="14">
        <v>1700029668</v>
      </c>
      <c r="H10" s="14" t="s">
        <v>37</v>
      </c>
      <c r="I10" s="14" t="s">
        <v>94</v>
      </c>
      <c r="J10" s="14">
        <v>0</v>
      </c>
      <c r="K10" s="15">
        <v>24396053</v>
      </c>
      <c r="L10" s="14" t="s">
        <v>91</v>
      </c>
      <c r="M10" s="14" t="s">
        <v>40</v>
      </c>
      <c r="N10" s="16"/>
      <c r="O10" s="16"/>
    </row>
    <row r="11" spans="1:15" x14ac:dyDescent="0.3">
      <c r="A11" s="14">
        <v>378</v>
      </c>
      <c r="B11" s="14" t="s">
        <v>2</v>
      </c>
      <c r="C11" s="14">
        <v>860002518</v>
      </c>
      <c r="D11" s="14" t="s">
        <v>85</v>
      </c>
      <c r="E11" s="14" t="s">
        <v>38</v>
      </c>
      <c r="F11" s="14" t="s">
        <v>86</v>
      </c>
      <c r="G11" s="14">
        <v>1700029712</v>
      </c>
      <c r="H11" s="14" t="s">
        <v>37</v>
      </c>
      <c r="I11" s="14" t="s">
        <v>94</v>
      </c>
      <c r="J11" s="14">
        <v>0</v>
      </c>
      <c r="K11" s="15">
        <v>25500117</v>
      </c>
      <c r="L11" s="14" t="s">
        <v>91</v>
      </c>
      <c r="M11" s="14" t="s">
        <v>41</v>
      </c>
      <c r="N11" s="16"/>
      <c r="O11" s="16"/>
    </row>
    <row r="12" spans="1:15" x14ac:dyDescent="0.3">
      <c r="A12" s="14">
        <v>379</v>
      </c>
      <c r="B12" s="14" t="s">
        <v>2</v>
      </c>
      <c r="C12" s="14">
        <v>860002518</v>
      </c>
      <c r="D12" s="14" t="s">
        <v>85</v>
      </c>
      <c r="E12" s="14" t="s">
        <v>63</v>
      </c>
      <c r="F12" s="14" t="s">
        <v>86</v>
      </c>
      <c r="G12" s="14" t="s">
        <v>95</v>
      </c>
      <c r="H12" s="14" t="s">
        <v>62</v>
      </c>
      <c r="I12" s="14" t="s">
        <v>94</v>
      </c>
      <c r="J12" s="14">
        <v>0</v>
      </c>
      <c r="K12" s="15">
        <v>8565708</v>
      </c>
      <c r="L12" s="14" t="s">
        <v>91</v>
      </c>
      <c r="M12" s="14" t="s">
        <v>96</v>
      </c>
      <c r="N12" s="16"/>
      <c r="O12" s="16"/>
    </row>
    <row r="13" spans="1:15" x14ac:dyDescent="0.3">
      <c r="A13" s="14">
        <v>380</v>
      </c>
      <c r="B13" s="14" t="s">
        <v>2</v>
      </c>
      <c r="C13" s="14">
        <v>860002518</v>
      </c>
      <c r="D13" s="14" t="s">
        <v>85</v>
      </c>
      <c r="E13" s="14" t="s">
        <v>44</v>
      </c>
      <c r="F13" s="14" t="s">
        <v>86</v>
      </c>
      <c r="G13" s="14">
        <v>1700029790</v>
      </c>
      <c r="H13" s="14" t="s">
        <v>37</v>
      </c>
      <c r="I13" s="14" t="s">
        <v>86</v>
      </c>
      <c r="J13" s="14">
        <v>0</v>
      </c>
      <c r="K13" s="15">
        <v>7432616</v>
      </c>
      <c r="M13" s="16" t="s">
        <v>47</v>
      </c>
      <c r="N13" s="16"/>
      <c r="O13" s="16"/>
    </row>
    <row r="14" spans="1:15" x14ac:dyDescent="0.3">
      <c r="A14" s="14">
        <v>381</v>
      </c>
      <c r="B14" s="14" t="s">
        <v>2</v>
      </c>
      <c r="C14" s="14">
        <v>860002518</v>
      </c>
      <c r="D14" s="14" t="s">
        <v>85</v>
      </c>
      <c r="F14" s="14" t="s">
        <v>86</v>
      </c>
      <c r="G14" s="14">
        <v>1700029785</v>
      </c>
      <c r="H14" s="14" t="s">
        <v>37</v>
      </c>
      <c r="I14" s="14" t="s">
        <v>86</v>
      </c>
      <c r="J14" s="14">
        <v>0</v>
      </c>
      <c r="K14" s="15">
        <v>52403602</v>
      </c>
      <c r="L14" s="14" t="s">
        <v>91</v>
      </c>
      <c r="M14" s="14" t="s">
        <v>43</v>
      </c>
      <c r="N14" s="16"/>
      <c r="O14" s="16"/>
    </row>
    <row r="15" spans="1:15" x14ac:dyDescent="0.3">
      <c r="A15" s="14">
        <v>638</v>
      </c>
      <c r="B15" s="14" t="s">
        <v>2</v>
      </c>
      <c r="C15" s="14">
        <v>860002518</v>
      </c>
      <c r="D15" s="14" t="s">
        <v>85</v>
      </c>
      <c r="E15" s="14" t="s">
        <v>24</v>
      </c>
      <c r="F15" s="14" t="s">
        <v>86</v>
      </c>
      <c r="G15" s="14">
        <v>5100351467</v>
      </c>
      <c r="H15" s="14" t="s">
        <v>89</v>
      </c>
      <c r="I15" s="14" t="s">
        <v>87</v>
      </c>
      <c r="J15" s="14">
        <v>0</v>
      </c>
      <c r="K15" s="15">
        <v>-6664808</v>
      </c>
      <c r="L15" s="14" t="s">
        <v>88</v>
      </c>
      <c r="M15" s="14" t="s">
        <v>85</v>
      </c>
      <c r="N15" s="16"/>
      <c r="O15" s="16"/>
    </row>
    <row r="16" spans="1:15" x14ac:dyDescent="0.3">
      <c r="A16" s="14">
        <v>639</v>
      </c>
      <c r="B16" s="14" t="s">
        <v>2</v>
      </c>
      <c r="C16" s="14">
        <v>860002518</v>
      </c>
      <c r="D16" s="14" t="s">
        <v>85</v>
      </c>
      <c r="E16" s="14" t="s">
        <v>24</v>
      </c>
      <c r="F16" s="14" t="s">
        <v>86</v>
      </c>
      <c r="G16" s="14">
        <v>5100351468</v>
      </c>
      <c r="H16" s="14" t="s">
        <v>48</v>
      </c>
      <c r="I16" s="14" t="s">
        <v>87</v>
      </c>
      <c r="J16" s="14">
        <v>0</v>
      </c>
      <c r="K16" s="15">
        <v>2354256</v>
      </c>
      <c r="L16" s="14" t="s">
        <v>88</v>
      </c>
      <c r="M16" s="14" t="s">
        <v>85</v>
      </c>
      <c r="N16" s="16"/>
      <c r="O16" s="16"/>
    </row>
    <row r="17" spans="1:15" x14ac:dyDescent="0.3">
      <c r="A17" s="14">
        <v>641</v>
      </c>
      <c r="B17" s="14" t="s">
        <v>2</v>
      </c>
      <c r="C17" s="14">
        <v>860002518</v>
      </c>
      <c r="D17" s="14" t="s">
        <v>85</v>
      </c>
      <c r="E17" s="14" t="s">
        <v>34</v>
      </c>
      <c r="F17" s="14" t="s">
        <v>86</v>
      </c>
      <c r="G17" s="14">
        <v>5100352619</v>
      </c>
      <c r="H17" s="14" t="s">
        <v>89</v>
      </c>
      <c r="I17" s="14" t="s">
        <v>90</v>
      </c>
      <c r="J17" s="14">
        <v>0</v>
      </c>
      <c r="K17" s="15">
        <v>-68978368</v>
      </c>
      <c r="L17" s="14" t="s">
        <v>91</v>
      </c>
      <c r="M17" s="14" t="s">
        <v>92</v>
      </c>
      <c r="N17" s="16"/>
      <c r="O17" s="16"/>
    </row>
    <row r="18" spans="1:15" x14ac:dyDescent="0.3">
      <c r="A18" s="14">
        <v>642</v>
      </c>
      <c r="B18" s="14" t="s">
        <v>2</v>
      </c>
      <c r="C18" s="14">
        <v>860002518</v>
      </c>
      <c r="D18" s="14" t="s">
        <v>85</v>
      </c>
      <c r="E18" s="14" t="s">
        <v>30</v>
      </c>
      <c r="F18" s="14" t="s">
        <v>86</v>
      </c>
      <c r="G18" s="14">
        <v>5100352631</v>
      </c>
      <c r="H18" s="14" t="s">
        <v>48</v>
      </c>
      <c r="I18" s="14" t="s">
        <v>90</v>
      </c>
      <c r="J18" s="14">
        <v>0</v>
      </c>
      <c r="K18" s="15">
        <v>581114</v>
      </c>
      <c r="L18" s="14" t="s">
        <v>91</v>
      </c>
      <c r="M18" s="14" t="s">
        <v>92</v>
      </c>
      <c r="N18" s="16"/>
      <c r="O18" s="16"/>
    </row>
    <row r="19" spans="1:15" x14ac:dyDescent="0.3">
      <c r="A19" s="14">
        <v>643</v>
      </c>
      <c r="B19" s="14" t="s">
        <v>2</v>
      </c>
      <c r="C19" s="14">
        <v>860002518</v>
      </c>
      <c r="D19" s="14" t="s">
        <v>85</v>
      </c>
      <c r="E19" s="14" t="s">
        <v>34</v>
      </c>
      <c r="F19" s="14" t="s">
        <v>86</v>
      </c>
      <c r="G19" s="14">
        <v>5100352620</v>
      </c>
      <c r="H19" s="14" t="s">
        <v>48</v>
      </c>
      <c r="I19" s="14" t="s">
        <v>90</v>
      </c>
      <c r="J19" s="14">
        <v>0</v>
      </c>
      <c r="K19" s="15">
        <v>24143415</v>
      </c>
      <c r="L19" s="14" t="s">
        <v>91</v>
      </c>
      <c r="M19" s="14" t="s">
        <v>92</v>
      </c>
      <c r="N19" s="16"/>
      <c r="O19" s="16"/>
    </row>
    <row r="20" spans="1:15" x14ac:dyDescent="0.3">
      <c r="A20" s="14">
        <v>644</v>
      </c>
      <c r="B20" s="14" t="s">
        <v>2</v>
      </c>
      <c r="C20" s="14">
        <v>860002518</v>
      </c>
      <c r="D20" s="14" t="s">
        <v>85</v>
      </c>
      <c r="E20" s="14" t="s">
        <v>30</v>
      </c>
      <c r="F20" s="14" t="s">
        <v>86</v>
      </c>
      <c r="G20" s="14">
        <v>5100352630</v>
      </c>
      <c r="H20" s="14" t="s">
        <v>89</v>
      </c>
      <c r="I20" s="14" t="s">
        <v>90</v>
      </c>
      <c r="J20" s="14">
        <v>0</v>
      </c>
      <c r="K20" s="15">
        <v>-47933755</v>
      </c>
      <c r="L20" s="14" t="s">
        <v>91</v>
      </c>
      <c r="M20" s="14" t="s">
        <v>92</v>
      </c>
      <c r="N20" s="16"/>
      <c r="O20" s="16"/>
    </row>
    <row r="21" spans="1:15" x14ac:dyDescent="0.3">
      <c r="A21" s="14">
        <v>652</v>
      </c>
      <c r="B21" s="14" t="s">
        <v>2</v>
      </c>
      <c r="C21" s="14">
        <v>860002518</v>
      </c>
      <c r="D21" s="14" t="s">
        <v>85</v>
      </c>
      <c r="E21" s="14" t="s">
        <v>31</v>
      </c>
      <c r="F21" s="14" t="s">
        <v>86</v>
      </c>
      <c r="G21" s="14">
        <v>5100352941</v>
      </c>
      <c r="H21" s="14" t="s">
        <v>89</v>
      </c>
      <c r="I21" s="14" t="s">
        <v>90</v>
      </c>
      <c r="J21" s="14">
        <v>0</v>
      </c>
      <c r="K21" s="15">
        <v>-900649</v>
      </c>
      <c r="L21" s="14" t="s">
        <v>91</v>
      </c>
      <c r="M21" s="14" t="s">
        <v>85</v>
      </c>
      <c r="N21" s="16"/>
      <c r="O21" s="16"/>
    </row>
    <row r="22" spans="1:15" x14ac:dyDescent="0.3">
      <c r="A22" s="14">
        <v>1353</v>
      </c>
      <c r="B22" s="14" t="s">
        <v>2</v>
      </c>
      <c r="C22" s="14">
        <v>860002518</v>
      </c>
      <c r="D22" s="14" t="s">
        <v>85</v>
      </c>
      <c r="E22" s="14" t="s">
        <v>25</v>
      </c>
      <c r="F22" s="14" t="s">
        <v>86</v>
      </c>
      <c r="G22" s="14">
        <v>5100351499</v>
      </c>
      <c r="H22" s="14" t="s">
        <v>48</v>
      </c>
      <c r="I22" s="14" t="s">
        <v>87</v>
      </c>
      <c r="J22" s="14">
        <v>0</v>
      </c>
      <c r="K22" s="15">
        <v>1161934</v>
      </c>
      <c r="L22" s="14" t="s">
        <v>88</v>
      </c>
      <c r="M22" s="14" t="s">
        <v>85</v>
      </c>
      <c r="N22" s="16"/>
      <c r="O22" s="16"/>
    </row>
    <row r="23" spans="1:15" x14ac:dyDescent="0.3">
      <c r="A23" s="14">
        <v>1355</v>
      </c>
      <c r="B23" s="14" t="s">
        <v>2</v>
      </c>
      <c r="C23" s="14">
        <v>860002518</v>
      </c>
      <c r="D23" s="14" t="s">
        <v>85</v>
      </c>
      <c r="E23" s="14" t="s">
        <v>25</v>
      </c>
      <c r="F23" s="14" t="s">
        <v>86</v>
      </c>
      <c r="G23" s="14">
        <v>5100351498</v>
      </c>
      <c r="H23" s="14" t="s">
        <v>89</v>
      </c>
      <c r="I23" s="14" t="s">
        <v>87</v>
      </c>
      <c r="J23" s="14">
        <v>0</v>
      </c>
      <c r="K23" s="15">
        <v>-2904807</v>
      </c>
      <c r="L23" s="14" t="s">
        <v>88</v>
      </c>
      <c r="M23" s="14" t="s">
        <v>85</v>
      </c>
      <c r="N23" s="16"/>
      <c r="O23" s="16"/>
    </row>
    <row r="24" spans="1:15" x14ac:dyDescent="0.3">
      <c r="A24" s="14">
        <v>1359</v>
      </c>
      <c r="B24" s="14" t="s">
        <v>2</v>
      </c>
      <c r="C24" s="14">
        <v>860002518</v>
      </c>
      <c r="D24" s="14" t="s">
        <v>85</v>
      </c>
      <c r="E24" s="14" t="s">
        <v>36</v>
      </c>
      <c r="F24" s="14" t="s">
        <v>86</v>
      </c>
      <c r="G24" s="14">
        <v>5100352872</v>
      </c>
      <c r="H24" s="14" t="s">
        <v>48</v>
      </c>
      <c r="I24" s="14" t="s">
        <v>90</v>
      </c>
      <c r="J24" s="14">
        <v>0</v>
      </c>
      <c r="K24" s="15">
        <v>922315</v>
      </c>
      <c r="L24" s="14" t="s">
        <v>91</v>
      </c>
      <c r="M24" s="14" t="s">
        <v>93</v>
      </c>
      <c r="N24" s="16"/>
      <c r="O24" s="16"/>
    </row>
    <row r="25" spans="1:15" x14ac:dyDescent="0.3">
      <c r="A25" s="14">
        <v>1360</v>
      </c>
      <c r="B25" s="14" t="s">
        <v>2</v>
      </c>
      <c r="C25" s="14">
        <v>860002518</v>
      </c>
      <c r="D25" s="14" t="s">
        <v>85</v>
      </c>
      <c r="E25" s="14" t="s">
        <v>36</v>
      </c>
      <c r="F25" s="14" t="s">
        <v>86</v>
      </c>
      <c r="G25" s="14">
        <v>5100352871</v>
      </c>
      <c r="H25" s="14" t="s">
        <v>89</v>
      </c>
      <c r="I25" s="14" t="s">
        <v>90</v>
      </c>
      <c r="J25" s="14">
        <v>0</v>
      </c>
      <c r="K25" s="15">
        <v>-67654945</v>
      </c>
      <c r="L25" s="14" t="s">
        <v>91</v>
      </c>
      <c r="M25" s="14" t="s">
        <v>93</v>
      </c>
      <c r="N25" s="16"/>
      <c r="O25" s="16"/>
    </row>
    <row r="26" spans="1:15" x14ac:dyDescent="0.3">
      <c r="A26" s="14">
        <v>1362</v>
      </c>
      <c r="B26" s="14" t="s">
        <v>2</v>
      </c>
      <c r="C26" s="14">
        <v>860002518</v>
      </c>
      <c r="D26" s="14" t="s">
        <v>85</v>
      </c>
      <c r="E26" s="14" t="s">
        <v>33</v>
      </c>
      <c r="F26" s="14" t="s">
        <v>86</v>
      </c>
      <c r="G26" s="14">
        <v>5100352607</v>
      </c>
      <c r="H26" s="14" t="s">
        <v>48</v>
      </c>
      <c r="I26" s="14" t="s">
        <v>90</v>
      </c>
      <c r="J26" s="14">
        <v>0</v>
      </c>
      <c r="K26" s="15">
        <v>49382170</v>
      </c>
      <c r="L26" s="14" t="s">
        <v>91</v>
      </c>
      <c r="M26" s="14" t="s">
        <v>92</v>
      </c>
      <c r="N26" s="16"/>
      <c r="O26" s="16"/>
    </row>
    <row r="27" spans="1:15" x14ac:dyDescent="0.3">
      <c r="A27" s="14">
        <v>1370</v>
      </c>
      <c r="B27" s="14" t="s">
        <v>2</v>
      </c>
      <c r="C27" s="14">
        <v>860002518</v>
      </c>
      <c r="D27" s="14" t="s">
        <v>85</v>
      </c>
      <c r="E27" s="14" t="s">
        <v>33</v>
      </c>
      <c r="F27" s="14" t="s">
        <v>86</v>
      </c>
      <c r="G27" s="14">
        <v>5100352606</v>
      </c>
      <c r="H27" s="14" t="s">
        <v>89</v>
      </c>
      <c r="I27" s="14" t="s">
        <v>90</v>
      </c>
      <c r="J27" s="14">
        <v>0</v>
      </c>
      <c r="K27" s="15">
        <v>-123454295</v>
      </c>
      <c r="L27" s="14" t="s">
        <v>91</v>
      </c>
      <c r="M27" s="14" t="s">
        <v>92</v>
      </c>
      <c r="N27" s="16"/>
      <c r="O27" s="16"/>
    </row>
    <row r="28" spans="1:15" x14ac:dyDescent="0.3">
      <c r="A28" s="14">
        <v>1797</v>
      </c>
      <c r="B28" s="14" t="s">
        <v>2</v>
      </c>
      <c r="C28" s="14">
        <v>860002518</v>
      </c>
      <c r="D28" s="14" t="s">
        <v>85</v>
      </c>
      <c r="E28" s="14" t="s">
        <v>27</v>
      </c>
      <c r="F28" s="14" t="s">
        <v>86</v>
      </c>
      <c r="G28" s="14">
        <v>5100351487</v>
      </c>
      <c r="H28" s="14" t="s">
        <v>89</v>
      </c>
      <c r="I28" s="14" t="s">
        <v>87</v>
      </c>
      <c r="J28" s="14">
        <v>0</v>
      </c>
      <c r="K28" s="15">
        <v>-33587149</v>
      </c>
      <c r="L28" s="14" t="s">
        <v>88</v>
      </c>
      <c r="M28" s="14" t="s">
        <v>85</v>
      </c>
      <c r="N28" s="16"/>
      <c r="O28" s="16"/>
    </row>
    <row r="29" spans="1:15" x14ac:dyDescent="0.3">
      <c r="A29" s="14">
        <v>1800</v>
      </c>
      <c r="B29" s="14" t="s">
        <v>2</v>
      </c>
      <c r="C29" s="14">
        <v>860002518</v>
      </c>
      <c r="D29" s="14" t="s">
        <v>85</v>
      </c>
      <c r="E29" s="14" t="s">
        <v>27</v>
      </c>
      <c r="F29" s="14" t="s">
        <v>86</v>
      </c>
      <c r="G29" s="14">
        <v>5100351488</v>
      </c>
      <c r="H29" s="14" t="s">
        <v>48</v>
      </c>
      <c r="I29" s="14" t="s">
        <v>87</v>
      </c>
      <c r="J29" s="14">
        <v>0</v>
      </c>
      <c r="K29" s="15">
        <v>5038863</v>
      </c>
      <c r="L29" s="14" t="s">
        <v>88</v>
      </c>
      <c r="M29" s="14" t="s">
        <v>85</v>
      </c>
      <c r="N29" s="16"/>
      <c r="O29" s="16"/>
    </row>
    <row r="30" spans="1:15" x14ac:dyDescent="0.3">
      <c r="A30" s="14">
        <v>1801</v>
      </c>
      <c r="B30" s="14" t="s">
        <v>2</v>
      </c>
      <c r="C30" s="14">
        <v>860002518</v>
      </c>
      <c r="D30" s="14" t="s">
        <v>85</v>
      </c>
      <c r="E30" s="14" t="s">
        <v>28</v>
      </c>
      <c r="F30" s="14" t="s">
        <v>86</v>
      </c>
      <c r="G30" s="14">
        <v>5100352895</v>
      </c>
      <c r="H30" s="14" t="s">
        <v>89</v>
      </c>
      <c r="I30" s="14" t="s">
        <v>90</v>
      </c>
      <c r="J30" s="14">
        <v>0</v>
      </c>
      <c r="K30" s="15">
        <v>-75473016</v>
      </c>
      <c r="L30" s="14" t="s">
        <v>91</v>
      </c>
      <c r="M30" s="14" t="s">
        <v>93</v>
      </c>
      <c r="N30" s="16"/>
      <c r="O30" s="16"/>
    </row>
    <row r="31" spans="1:15" x14ac:dyDescent="0.3">
      <c r="A31" s="14">
        <v>1802</v>
      </c>
      <c r="B31" s="14" t="s">
        <v>2</v>
      </c>
      <c r="C31" s="14">
        <v>860002518</v>
      </c>
      <c r="D31" s="14" t="s">
        <v>85</v>
      </c>
      <c r="E31" s="14" t="s">
        <v>28</v>
      </c>
      <c r="F31" s="14" t="s">
        <v>86</v>
      </c>
      <c r="G31" s="14">
        <v>5100352896</v>
      </c>
      <c r="H31" s="14" t="s">
        <v>48</v>
      </c>
      <c r="I31" s="14" t="s">
        <v>90</v>
      </c>
      <c r="J31" s="14">
        <v>0</v>
      </c>
      <c r="K31" s="15">
        <v>1359799</v>
      </c>
      <c r="L31" s="14" t="s">
        <v>91</v>
      </c>
      <c r="M31" s="14" t="s">
        <v>93</v>
      </c>
      <c r="N31" s="16"/>
      <c r="O31" s="16"/>
    </row>
    <row r="32" spans="1:15" x14ac:dyDescent="0.3">
      <c r="A32" s="14">
        <v>1803</v>
      </c>
      <c r="B32" s="14" t="s">
        <v>2</v>
      </c>
      <c r="C32" s="14">
        <v>860002518</v>
      </c>
      <c r="D32" s="14" t="s">
        <v>85</v>
      </c>
      <c r="E32" s="14" t="s">
        <v>29</v>
      </c>
      <c r="F32" s="14" t="s">
        <v>86</v>
      </c>
      <c r="G32" s="14">
        <v>5100352922</v>
      </c>
      <c r="H32" s="14" t="s">
        <v>89</v>
      </c>
      <c r="I32" s="14" t="s">
        <v>90</v>
      </c>
      <c r="J32" s="14">
        <v>0</v>
      </c>
      <c r="K32" s="15">
        <v>-23442473</v>
      </c>
      <c r="L32" s="14" t="s">
        <v>91</v>
      </c>
      <c r="M32" s="14" t="s">
        <v>93</v>
      </c>
      <c r="N32" s="16"/>
      <c r="O32" s="16"/>
    </row>
    <row r="33" spans="1:15" x14ac:dyDescent="0.3">
      <c r="A33" s="14">
        <v>1804</v>
      </c>
      <c r="B33" s="14" t="s">
        <v>2</v>
      </c>
      <c r="C33" s="14">
        <v>860002518</v>
      </c>
      <c r="D33" s="14" t="s">
        <v>85</v>
      </c>
      <c r="E33" s="14" t="s">
        <v>29</v>
      </c>
      <c r="F33" s="14" t="s">
        <v>86</v>
      </c>
      <c r="G33" s="14">
        <v>5100352923</v>
      </c>
      <c r="H33" s="14" t="s">
        <v>48</v>
      </c>
      <c r="I33" s="14" t="s">
        <v>90</v>
      </c>
      <c r="J33" s="14">
        <v>0</v>
      </c>
      <c r="K33" s="15">
        <v>767748</v>
      </c>
      <c r="L33" s="14" t="s">
        <v>91</v>
      </c>
      <c r="M33" s="14" t="s">
        <v>93</v>
      </c>
      <c r="N33" s="16"/>
      <c r="O33" s="16"/>
    </row>
    <row r="34" spans="1:15" x14ac:dyDescent="0.3">
      <c r="N34" s="16"/>
      <c r="O34" s="16"/>
    </row>
    <row r="35" spans="1:15" x14ac:dyDescent="0.3">
      <c r="N35" s="16"/>
      <c r="O35" s="16"/>
    </row>
    <row r="36" spans="1:15" x14ac:dyDescent="0.3">
      <c r="N36" s="16"/>
      <c r="O36" s="16"/>
    </row>
    <row r="37" spans="1:15" x14ac:dyDescent="0.3">
      <c r="N37" s="16"/>
      <c r="O37" s="16"/>
    </row>
    <row r="38" spans="1:15" x14ac:dyDescent="0.3">
      <c r="N38" s="16"/>
      <c r="O38" s="16"/>
    </row>
    <row r="39" spans="1:15" x14ac:dyDescent="0.3">
      <c r="N39" s="16"/>
      <c r="O39" s="16"/>
    </row>
    <row r="40" spans="1:15" x14ac:dyDescent="0.3">
      <c r="N40" s="16"/>
      <c r="O40" s="16"/>
    </row>
    <row r="41" spans="1:15" x14ac:dyDescent="0.3">
      <c r="N41" s="16"/>
      <c r="O41" s="16"/>
    </row>
    <row r="42" spans="1:15" x14ac:dyDescent="0.3">
      <c r="N42" s="16"/>
      <c r="O42" s="16"/>
    </row>
    <row r="43" spans="1:15" x14ac:dyDescent="0.3">
      <c r="N43" s="16"/>
      <c r="O43" s="16"/>
    </row>
    <row r="44" spans="1:15" x14ac:dyDescent="0.3">
      <c r="N44" s="16"/>
      <c r="O44" s="16"/>
    </row>
    <row r="45" spans="1:15" x14ac:dyDescent="0.3">
      <c r="N45" s="16"/>
      <c r="O45" s="16"/>
    </row>
    <row r="46" spans="1:15" x14ac:dyDescent="0.3">
      <c r="N46" s="16"/>
      <c r="O46" s="16"/>
    </row>
    <row r="47" spans="1:15" x14ac:dyDescent="0.3">
      <c r="N47" s="16"/>
      <c r="O47" s="16"/>
    </row>
    <row r="48" spans="1:15" x14ac:dyDescent="0.3">
      <c r="N48" s="16"/>
      <c r="O48" s="16"/>
    </row>
    <row r="49" spans="14:15" x14ac:dyDescent="0.3">
      <c r="N49" s="16"/>
      <c r="O49" s="16"/>
    </row>
    <row r="50" spans="14:15" x14ac:dyDescent="0.3">
      <c r="N50" s="16"/>
      <c r="O50" s="16"/>
    </row>
    <row r="51" spans="14:15" x14ac:dyDescent="0.3">
      <c r="N51" s="16"/>
      <c r="O51" s="16"/>
    </row>
    <row r="52" spans="14:15" x14ac:dyDescent="0.3">
      <c r="N52" s="16"/>
      <c r="O52" s="16"/>
    </row>
    <row r="53" spans="14:15" x14ac:dyDescent="0.3">
      <c r="N53" s="16"/>
      <c r="O53" s="16"/>
    </row>
    <row r="54" spans="14:15" x14ac:dyDescent="0.3">
      <c r="N54" s="16"/>
      <c r="O54" s="16"/>
    </row>
    <row r="55" spans="14:15" x14ac:dyDescent="0.3">
      <c r="N55" s="16"/>
      <c r="O55" s="16"/>
    </row>
    <row r="56" spans="14:15" x14ac:dyDescent="0.3">
      <c r="N56" s="16"/>
      <c r="O56" s="16"/>
    </row>
    <row r="57" spans="14:15" x14ac:dyDescent="0.3">
      <c r="N57" s="16"/>
      <c r="O57" s="16"/>
    </row>
    <row r="58" spans="14:15" x14ac:dyDescent="0.3">
      <c r="N58" s="16"/>
      <c r="O58" s="16"/>
    </row>
    <row r="59" spans="14:15" x14ac:dyDescent="0.3">
      <c r="N59" s="16"/>
      <c r="O59" s="16"/>
    </row>
    <row r="60" spans="14:15" x14ac:dyDescent="0.3">
      <c r="N60" s="16"/>
      <c r="O60" s="16"/>
    </row>
    <row r="61" spans="14:15" x14ac:dyDescent="0.3">
      <c r="N61" s="16"/>
      <c r="O61" s="16"/>
    </row>
    <row r="62" spans="14:15" x14ac:dyDescent="0.3">
      <c r="N62" s="16"/>
      <c r="O62" s="16"/>
    </row>
    <row r="63" spans="14:15" x14ac:dyDescent="0.3">
      <c r="N63" s="16"/>
      <c r="O63" s="16"/>
    </row>
    <row r="64" spans="14:15" x14ac:dyDescent="0.3">
      <c r="N64" s="16"/>
      <c r="O64" s="16"/>
    </row>
    <row r="65" spans="14:15" x14ac:dyDescent="0.3">
      <c r="N65" s="16"/>
      <c r="O65" s="16"/>
    </row>
    <row r="66" spans="14:15" x14ac:dyDescent="0.3">
      <c r="N66" s="16"/>
      <c r="O66" s="16"/>
    </row>
    <row r="67" spans="14:15" x14ac:dyDescent="0.3">
      <c r="N67" s="16"/>
      <c r="O67" s="16"/>
    </row>
    <row r="68" spans="14:15" x14ac:dyDescent="0.3">
      <c r="N68" s="16"/>
    </row>
  </sheetData>
  <mergeCells count="1">
    <mergeCell ref="A1:M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Remittance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Jose-Ricardo</cp:lastModifiedBy>
  <dcterms:created xsi:type="dcterms:W3CDTF">2025-09-26T21:19:00Z</dcterms:created>
  <dcterms:modified xsi:type="dcterms:W3CDTF">2025-09-26T21:21:22Z</dcterms:modified>
</cp:coreProperties>
</file>