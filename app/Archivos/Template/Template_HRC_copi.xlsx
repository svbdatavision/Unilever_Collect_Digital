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jose-ricardo_morales_unilever_com/Documents/Cartera/PROYECTOS/Cash App Cross Andina/Python/Unilever_Collect_Digital/app/Archivos/Template/"/>
    </mc:Choice>
  </mc:AlternateContent>
  <xr:revisionPtr revIDLastSave="3" documentId="11_FB166EF7F9BCDEE23CF4D5D4375BDA16F642B2BE" xr6:coauthVersionLast="47" xr6:coauthVersionMax="47" xr10:uidLastSave="{13DDB269-E006-4CD5-81DA-431D93316C5F}"/>
  <bookViews>
    <workbookView xWindow="-108" yWindow="-108" windowWidth="23256" windowHeight="12456" xr2:uid="{00000000-000D-0000-FFFF-FFFF00000000}"/>
  </bookViews>
  <sheets>
    <sheet name="Template" sheetId="1" r:id="rId1"/>
    <sheet name="Remitt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8" i="2" l="1"/>
  <c r="K68" i="2"/>
  <c r="K69" i="2" s="1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</calcChain>
</file>

<file path=xl/sharedStrings.xml><?xml version="1.0" encoding="utf-8"?>
<sst xmlns="http://schemas.openxmlformats.org/spreadsheetml/2006/main" count="864" uniqueCount="157">
  <si>
    <t>Desglose de Pago</t>
  </si>
  <si>
    <t>REFERENCIA DE PAGO</t>
  </si>
  <si>
    <t>Pagado</t>
  </si>
  <si>
    <t>CAMPOS NO EDITABLES</t>
  </si>
  <si>
    <t>Cliente</t>
  </si>
  <si>
    <t>COOP NAC DE DROG DETAL COPIDRO</t>
  </si>
  <si>
    <t>TOTAL s/ BANCOS</t>
  </si>
  <si>
    <t>TOTAL s/ DETALLE</t>
  </si>
  <si>
    <t>Codigo de Cliente</t>
  </si>
  <si>
    <t>DIFERENCIA</t>
  </si>
  <si>
    <t>Referencia</t>
  </si>
  <si>
    <t>Fecha</t>
  </si>
  <si>
    <t>Método de Pago</t>
  </si>
  <si>
    <t>Valor</t>
  </si>
  <si>
    <t>9/24/25</t>
  </si>
  <si>
    <t>Transferencia</t>
  </si>
  <si>
    <t>Tipo de Documento</t>
  </si>
  <si>
    <t>Referencia / Factura</t>
  </si>
  <si>
    <t>Importe de factura</t>
  </si>
  <si>
    <t>Descuento</t>
  </si>
  <si>
    <t>Motivo del descuento</t>
  </si>
  <si>
    <t>Pago Neto</t>
  </si>
  <si>
    <t>Comentarios</t>
  </si>
  <si>
    <t>Reduc Factura Compra</t>
  </si>
  <si>
    <t>PMP1276670</t>
  </si>
  <si>
    <t>DESCUENTO</t>
  </si>
  <si>
    <t>987</t>
  </si>
  <si>
    <t xml:space="preserve">DESCUENTO PMP1276670 </t>
  </si>
  <si>
    <t>PMP1277142</t>
  </si>
  <si>
    <t>Saldo FC PMP1277142</t>
  </si>
  <si>
    <t>PMP1276991</t>
  </si>
  <si>
    <t>Saldo FC PMP1276991</t>
  </si>
  <si>
    <t>PMP1277137</t>
  </si>
  <si>
    <t>Saldo FC PMP1277137</t>
  </si>
  <si>
    <t>PMP1276671</t>
  </si>
  <si>
    <t>Saldo FC PMP1276671</t>
  </si>
  <si>
    <t>PMP1276666</t>
  </si>
  <si>
    <t>Saldo FC PMP1276666</t>
  </si>
  <si>
    <t>PMP1273112</t>
  </si>
  <si>
    <t>Saldo FC PMP1273112</t>
  </si>
  <si>
    <t>PMP1276990</t>
  </si>
  <si>
    <t>Saldo FC PMP1276990</t>
  </si>
  <si>
    <t>PMP1277143</t>
  </si>
  <si>
    <t>Saldo FC PMP1277143</t>
  </si>
  <si>
    <t>PMP1276668</t>
  </si>
  <si>
    <t>Saldo FC PMP1276668</t>
  </si>
  <si>
    <t>PMP1276988</t>
  </si>
  <si>
    <t>Saldo FC PMP1276988</t>
  </si>
  <si>
    <t>PMP1276992</t>
  </si>
  <si>
    <t>DESCUENTO PMP1276992 UNILEVER ANDINA COLOMBIA LTDA/conciliaicon</t>
  </si>
  <si>
    <t>PMP1273878</t>
  </si>
  <si>
    <t>Saldo FC PMP1273878</t>
  </si>
  <si>
    <t>Nota de Crédito</t>
  </si>
  <si>
    <t>NRO</t>
  </si>
  <si>
    <t>Pendiente de Aplicar sin Soporte</t>
  </si>
  <si>
    <t>1200013286</t>
  </si>
  <si>
    <t>1200013299</t>
  </si>
  <si>
    <t>1200013300</t>
  </si>
  <si>
    <t>Nota</t>
  </si>
  <si>
    <t>AUT.G.COMERCIAL</t>
  </si>
  <si>
    <t>AVERIA</t>
  </si>
  <si>
    <t>522</t>
  </si>
  <si>
    <t>AVERIA AUT.G.COMERCIAL Dev.&gt;.a.30.dias.en.CEDI.8_Sep_</t>
  </si>
  <si>
    <t>NOTA DEVOLUCIÓN</t>
  </si>
  <si>
    <t>DESCUENTO NOTA DEVOLUCIÓN NOTA DEVOLUCIÓN POR DEPURACIÓN INVENTARIO SEP 25</t>
  </si>
  <si>
    <t>nan</t>
  </si>
  <si>
    <t>DESCUENTO nan DDPD UNILEVER MIN 2Q 2025</t>
  </si>
  <si>
    <t>C. UNILEVER</t>
  </si>
  <si>
    <t>DPP NO PROCEDE</t>
  </si>
  <si>
    <t>677</t>
  </si>
  <si>
    <t>DPP NO PROCEDE C. UNILEVER DCTO 2.00% GLOBAL PAGO ANTICIPADO UNILEVER</t>
  </si>
  <si>
    <t>Factura Acrededor</t>
  </si>
  <si>
    <t xml:space="preserve"> PMP1276990 UNILEVER ANDINA COLOMBIA LTDA/CONCILIAICION</t>
  </si>
  <si>
    <t>PMP1277144</t>
  </si>
  <si>
    <t xml:space="preserve"> PMP1277144 UNILEVER ANDINA COLOMBIA LTDA</t>
  </si>
  <si>
    <t xml:space="preserve"> PMP1277143 UNILEVER ANDINA COLOMBIA LTDA/CONCILIACION</t>
  </si>
  <si>
    <t xml:space="preserve"> PMP1273112 UNILEVER ANDINA COLOMBIA LTDA/CONCILIACION</t>
  </si>
  <si>
    <t xml:space="preserve"> PMP1277142 UNILEVER ANDINA COLOMBIA LTDA/CONCILIACION</t>
  </si>
  <si>
    <t xml:space="preserve"> PMP1276988 UNILEVER ANDINA COLOMBIA LTDA/CONCILIACION</t>
  </si>
  <si>
    <t xml:space="preserve"> PMP1276992 UNILEVER ANDINA COLOMBIA LTDA/conciliaicon</t>
  </si>
  <si>
    <t>PMP1277139</t>
  </si>
  <si>
    <t xml:space="preserve"> PMP1277139 UNILEVER ANDINA COLOMBIA LTDA</t>
  </si>
  <si>
    <t>PMP1277145</t>
  </si>
  <si>
    <t xml:space="preserve"> PMP1277145 UNILEVER ANDINA COLOMBIA LTDA</t>
  </si>
  <si>
    <t>PMP1276672</t>
  </si>
  <si>
    <t xml:space="preserve"> PMP1276672 </t>
  </si>
  <si>
    <t xml:space="preserve"> PMP1276668 </t>
  </si>
  <si>
    <t>PMP1276673</t>
  </si>
  <si>
    <t xml:space="preserve"> PMP1276673 </t>
  </si>
  <si>
    <t>PMP1273596</t>
  </si>
  <si>
    <t xml:space="preserve"> PMP1273596 UNILEVER ANDINA COLOMBIA LTDA</t>
  </si>
  <si>
    <t xml:space="preserve"> PMP1276671 </t>
  </si>
  <si>
    <t xml:space="preserve"> PMP1276666 </t>
  </si>
  <si>
    <t xml:space="preserve"> PMP1276991 UNILEVER ANDINA COLOMBIA LTDA/conciliacion</t>
  </si>
  <si>
    <t xml:space="preserve"> PMP1277137 UNILEVER ANDINA COLOMBIA LTDA/conciliacion</t>
  </si>
  <si>
    <t>PMP1276993</t>
  </si>
  <si>
    <t xml:space="preserve"> PMP1276993 UNILEVER ANDINA COLOMBIA LTDA</t>
  </si>
  <si>
    <t>PMP1277138</t>
  </si>
  <si>
    <t xml:space="preserve"> PMP1277138 UNILEVER ANDINA COLOMBIA LTDA</t>
  </si>
  <si>
    <t>PMP1276669</t>
  </si>
  <si>
    <t xml:space="preserve"> PMP1276669 </t>
  </si>
  <si>
    <t xml:space="preserve"> PMP1276670 </t>
  </si>
  <si>
    <t xml:space="preserve"> PMP1273878 UNILEVER ANDINA COLOMBIA LTDA/CONCILIACION</t>
  </si>
  <si>
    <t>PMP1273863</t>
  </si>
  <si>
    <t xml:space="preserve"> PMP1273863 </t>
  </si>
  <si>
    <t>Devolucion</t>
  </si>
  <si>
    <t>5009114474</t>
  </si>
  <si>
    <t xml:space="preserve">AVERIA 5009114474 </t>
  </si>
  <si>
    <t>5009108214</t>
  </si>
  <si>
    <t xml:space="preserve">AVERIA 5009108214 </t>
  </si>
  <si>
    <t>5009109080</t>
  </si>
  <si>
    <t xml:space="preserve">AVERIA 5009109080 </t>
  </si>
  <si>
    <t xml:space="preserve"> nan </t>
  </si>
  <si>
    <t>Facturas Pagadas
Proveedor: UNILEVER ANDINA COLOMBIA LTDA
Fecha  Reporte:  2025-09-18 12:50:42</t>
  </si>
  <si>
    <t>No.</t>
  </si>
  <si>
    <t>Estado</t>
  </si>
  <si>
    <t>Acreedor</t>
  </si>
  <si>
    <t>Nombre Acreedor</t>
  </si>
  <si>
    <t>Fecha pago</t>
  </si>
  <si>
    <t>No. Documento</t>
  </si>
  <si>
    <t>Clase</t>
  </si>
  <si>
    <t>Fecha Doc</t>
  </si>
  <si>
    <t>Importe Descuento</t>
  </si>
  <si>
    <t>Importe en ML</t>
  </si>
  <si>
    <t>Div</t>
  </si>
  <si>
    <t>Texto</t>
  </si>
  <si>
    <t xml:space="preserve">Concepto interno </t>
  </si>
  <si>
    <t>Clasificacion 3</t>
  </si>
  <si>
    <t>UNILEVER ANDINA COLOMBIA LTDA</t>
  </si>
  <si>
    <t>12/09/2025</t>
  </si>
  <si>
    <t>20/08/2025</t>
  </si>
  <si>
    <t>Cerritos</t>
  </si>
  <si>
    <t>Ventas</t>
  </si>
  <si>
    <t>Cartera</t>
  </si>
  <si>
    <t>21/08/2025</t>
  </si>
  <si>
    <t>UNILEVER ANDINA COLOMBIA LTDA/conciliaicon</t>
  </si>
  <si>
    <t>Cota</t>
  </si>
  <si>
    <t>05/09/2025</t>
  </si>
  <si>
    <t>NOTA DEVOLUCIÓN POR DEPURACIÓN INVENTARIO SEP 25</t>
  </si>
  <si>
    <t>Bucaramanga ZF</t>
  </si>
  <si>
    <t>Palmira</t>
  </si>
  <si>
    <t>Barranquilla</t>
  </si>
  <si>
    <t>08/09/2025</t>
  </si>
  <si>
    <t>Dev.&gt;.a.30.dias.en.CEDI.8_Sep_</t>
  </si>
  <si>
    <t xml:space="preserve">COL </t>
  </si>
  <si>
    <t>11/09/2025</t>
  </si>
  <si>
    <t>DDPD UNILEVER MIN 2Q 2025</t>
  </si>
  <si>
    <t>DCTO 2.00% GLOBAL PAGO ANTICIPADO UNILEVER</t>
  </si>
  <si>
    <t>DPP</t>
  </si>
  <si>
    <t>UNILEVER ANDINA COLOMBIA LTDA/conciliacion</t>
  </si>
  <si>
    <t>PMP-1273112</t>
  </si>
  <si>
    <t>12/08/2025</t>
  </si>
  <si>
    <t>UNILEVER ANDINA COLOMBIA LTDA/CONCILIACION</t>
  </si>
  <si>
    <t>13/08/2025</t>
  </si>
  <si>
    <t>10/09/2025</t>
  </si>
  <si>
    <t>AVERIAS</t>
  </si>
  <si>
    <t>UNILEVER ANDINA COLOMBIA LTDA/CONCILIAICION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</si>
</sst>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366"/>
        <bgColor rgb="FF002366"/>
      </patternFill>
    </fill>
    <fill>
      <patternFill patternType="solid">
        <fgColor rgb="FF1E90FF"/>
        <bgColor rgb="FF1E90FF"/>
      </patternFill>
    </fill>
    <fill>
      <patternFill patternType="solid">
        <fgColor rgb="FFFFFF00"/>
        <bgColor rgb="FFFFFF00"/>
      </patternFill>
    </fill>
    <fill>
      <patternFill patternType="solid">
        <fgColor rgb="FF5DADE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4" borderId="0" xfId="0" applyFont="1" applyFill="1"/>
    <xf numFmtId="0" fontId="1" fillId="3" borderId="0" xfId="0" applyFont="1" applyFill="1"/>
    <xf numFmtId="4" fontId="1" fillId="3" borderId="0" xfId="0" applyNumberFormat="1" applyFont="1" applyFill="1"/>
    <xf numFmtId="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4" fillId="6" borderId="0" xfId="0" applyFont="1" applyFill="1"/>
    <xf numFmtId="0" fontId="4" fillId="7" borderId="0" xfId="0" applyFont="1" applyFill="1"/>
    <xf numFmtId="0" fontId="5" fillId="0" borderId="0" xfId="0" applyFont="1" applyAlignment="1">
      <alignment horizontal="left"/>
    </xf>
    <xf numFmtId="43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5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88"/>
  <sheetViews>
    <sheetView tabSelected="1" topLeftCell="A16" workbookViewId="0">
      <pane xSplit="2" ySplit="3" topLeftCell="C75" activePane="bottomRight" state="frozen"/>
      <selection activeCell="A16" sqref="A16"/>
      <selection pane="topRight" activeCell="C16" sqref="C16"/>
      <selection pane="bottomLeft" activeCell="A19" sqref="A19"/>
      <selection pane="bottomRight" activeCell="H84" sqref="H84:H86"/>
    </sheetView>
  </sheetViews>
  <sheetFormatPr defaultRowHeight="14.4" x14ac:dyDescent="0.3"/>
  <cols>
    <col min="1" max="2" width="2" customWidth="1"/>
    <col min="3" max="3" width="22" customWidth="1"/>
    <col min="4" max="4" width="32" customWidth="1"/>
    <col min="5" max="5" width="20" customWidth="1"/>
    <col min="6" max="6" width="19" customWidth="1"/>
    <col min="7" max="7" width="22" customWidth="1"/>
    <col min="8" max="8" width="19" customWidth="1"/>
    <col min="9" max="9" width="76" customWidth="1"/>
  </cols>
  <sheetData>
    <row r="2" spans="3:8" x14ac:dyDescent="0.3">
      <c r="C2" t="s">
        <v>0</v>
      </c>
      <c r="G2" s="1" t="s">
        <v>1</v>
      </c>
      <c r="H2" s="2" t="s">
        <v>2</v>
      </c>
    </row>
    <row r="4" spans="3:8" x14ac:dyDescent="0.3">
      <c r="C4" s="3" t="s">
        <v>3</v>
      </c>
    </row>
    <row r="6" spans="3:8" x14ac:dyDescent="0.3">
      <c r="C6" s="1" t="s">
        <v>4</v>
      </c>
      <c r="D6" s="3" t="s">
        <v>5</v>
      </c>
      <c r="F6" s="1" t="s">
        <v>6</v>
      </c>
      <c r="G6" s="4">
        <v>-5023286486.6000004</v>
      </c>
    </row>
    <row r="7" spans="3:8" x14ac:dyDescent="0.3">
      <c r="C7" s="1"/>
      <c r="D7" s="3"/>
      <c r="F7" s="1" t="s">
        <v>7</v>
      </c>
      <c r="G7" s="4">
        <v>-5023286486.6000004</v>
      </c>
    </row>
    <row r="8" spans="3:8" x14ac:dyDescent="0.3">
      <c r="C8" s="1" t="s">
        <v>8</v>
      </c>
      <c r="D8" s="3">
        <v>10267298</v>
      </c>
      <c r="F8" s="1" t="s">
        <v>9</v>
      </c>
      <c r="G8" s="4">
        <v>0</v>
      </c>
    </row>
    <row r="11" spans="3:8" x14ac:dyDescent="0.3">
      <c r="C11" s="1" t="s">
        <v>10</v>
      </c>
      <c r="D11" s="1" t="s">
        <v>11</v>
      </c>
      <c r="E11" s="1" t="s">
        <v>12</v>
      </c>
      <c r="F11" s="1" t="s">
        <v>13</v>
      </c>
    </row>
    <row r="12" spans="3:8" x14ac:dyDescent="0.3">
      <c r="C12" t="s">
        <v>2</v>
      </c>
      <c r="D12" t="s">
        <v>14</v>
      </c>
      <c r="E12" t="s">
        <v>15</v>
      </c>
      <c r="F12" s="5">
        <v>-5023286486.6000004</v>
      </c>
    </row>
    <row r="18" spans="3:9" x14ac:dyDescent="0.3">
      <c r="C18" s="6" t="s">
        <v>16</v>
      </c>
      <c r="D18" s="6" t="s">
        <v>17</v>
      </c>
      <c r="E18" s="7" t="s">
        <v>18</v>
      </c>
      <c r="F18" s="6" t="s">
        <v>19</v>
      </c>
      <c r="G18" s="6" t="s">
        <v>20</v>
      </c>
      <c r="H18" s="7" t="s">
        <v>21</v>
      </c>
      <c r="I18" s="8" t="s">
        <v>22</v>
      </c>
    </row>
    <row r="19" spans="3:9" x14ac:dyDescent="0.3">
      <c r="C19" s="9" t="s">
        <v>23</v>
      </c>
      <c r="D19" s="9" t="s">
        <v>24</v>
      </c>
      <c r="E19" s="5">
        <v>4956</v>
      </c>
      <c r="F19" s="9" t="s">
        <v>25</v>
      </c>
      <c r="G19" s="9" t="s">
        <v>26</v>
      </c>
      <c r="H19" s="5">
        <v>4956</v>
      </c>
      <c r="I19" s="10" t="s">
        <v>27</v>
      </c>
    </row>
    <row r="20" spans="3:9" x14ac:dyDescent="0.3">
      <c r="C20" s="9" t="s">
        <v>23</v>
      </c>
      <c r="D20" s="9" t="s">
        <v>28</v>
      </c>
      <c r="E20" s="5">
        <v>1272672</v>
      </c>
      <c r="F20" s="9" t="s">
        <v>25</v>
      </c>
      <c r="G20" s="9" t="s">
        <v>26</v>
      </c>
      <c r="H20" s="5">
        <v>1272672</v>
      </c>
      <c r="I20" s="10" t="s">
        <v>29</v>
      </c>
    </row>
    <row r="21" spans="3:9" x14ac:dyDescent="0.3">
      <c r="C21" s="9" t="s">
        <v>23</v>
      </c>
      <c r="D21" s="9" t="s">
        <v>30</v>
      </c>
      <c r="E21" s="5">
        <v>375295</v>
      </c>
      <c r="F21" s="9" t="s">
        <v>25</v>
      </c>
      <c r="G21" s="9" t="s">
        <v>26</v>
      </c>
      <c r="H21" s="5">
        <v>375295</v>
      </c>
      <c r="I21" s="10" t="s">
        <v>31</v>
      </c>
    </row>
    <row r="22" spans="3:9" x14ac:dyDescent="0.3">
      <c r="C22" s="9" t="s">
        <v>23</v>
      </c>
      <c r="D22" s="9" t="s">
        <v>32</v>
      </c>
      <c r="E22" s="5">
        <v>973783</v>
      </c>
      <c r="F22" s="9" t="s">
        <v>25</v>
      </c>
      <c r="G22" s="9" t="s">
        <v>26</v>
      </c>
      <c r="H22" s="5">
        <v>973783</v>
      </c>
      <c r="I22" s="10" t="s">
        <v>33</v>
      </c>
    </row>
    <row r="23" spans="3:9" x14ac:dyDescent="0.3">
      <c r="C23" s="9" t="s">
        <v>23</v>
      </c>
      <c r="D23" s="9" t="s">
        <v>34</v>
      </c>
      <c r="E23" s="5">
        <v>128471</v>
      </c>
      <c r="F23" s="9" t="s">
        <v>25</v>
      </c>
      <c r="G23" s="9" t="s">
        <v>26</v>
      </c>
      <c r="H23" s="5">
        <v>128471</v>
      </c>
      <c r="I23" s="10" t="s">
        <v>35</v>
      </c>
    </row>
    <row r="24" spans="3:9" x14ac:dyDescent="0.3">
      <c r="C24" s="9" t="s">
        <v>23</v>
      </c>
      <c r="D24" s="9" t="s">
        <v>36</v>
      </c>
      <c r="E24" s="5">
        <v>116211</v>
      </c>
      <c r="F24" s="9" t="s">
        <v>25</v>
      </c>
      <c r="G24" s="9" t="s">
        <v>26</v>
      </c>
      <c r="H24" s="5">
        <v>116211</v>
      </c>
      <c r="I24" s="10" t="s">
        <v>37</v>
      </c>
    </row>
    <row r="25" spans="3:9" x14ac:dyDescent="0.3">
      <c r="C25" s="9" t="s">
        <v>23</v>
      </c>
      <c r="D25" s="9" t="s">
        <v>38</v>
      </c>
      <c r="E25" s="5">
        <v>98733</v>
      </c>
      <c r="F25" s="9" t="s">
        <v>25</v>
      </c>
      <c r="G25" s="9" t="s">
        <v>26</v>
      </c>
      <c r="H25" s="5">
        <v>98733</v>
      </c>
      <c r="I25" s="10" t="s">
        <v>39</v>
      </c>
    </row>
    <row r="26" spans="3:9" x14ac:dyDescent="0.3">
      <c r="C26" s="9" t="s">
        <v>23</v>
      </c>
      <c r="D26" s="9" t="s">
        <v>40</v>
      </c>
      <c r="E26" s="5">
        <v>538091</v>
      </c>
      <c r="F26" s="9" t="s">
        <v>25</v>
      </c>
      <c r="G26" s="9" t="s">
        <v>26</v>
      </c>
      <c r="H26" s="5">
        <v>538091</v>
      </c>
      <c r="I26" s="10" t="s">
        <v>41</v>
      </c>
    </row>
    <row r="27" spans="3:9" x14ac:dyDescent="0.3">
      <c r="C27" s="9" t="s">
        <v>23</v>
      </c>
      <c r="D27" s="9" t="s">
        <v>42</v>
      </c>
      <c r="E27" s="5">
        <v>18833393</v>
      </c>
      <c r="F27" s="9" t="s">
        <v>25</v>
      </c>
      <c r="G27" s="9" t="s">
        <v>26</v>
      </c>
      <c r="H27" s="5">
        <v>18833393</v>
      </c>
      <c r="I27" s="10" t="s">
        <v>43</v>
      </c>
    </row>
    <row r="28" spans="3:9" x14ac:dyDescent="0.3">
      <c r="C28" s="9" t="s">
        <v>23</v>
      </c>
      <c r="D28" s="9" t="s">
        <v>44</v>
      </c>
      <c r="E28" s="5">
        <v>338713</v>
      </c>
      <c r="F28" s="9" t="s">
        <v>25</v>
      </c>
      <c r="G28" s="9" t="s">
        <v>26</v>
      </c>
      <c r="H28" s="5">
        <v>338713</v>
      </c>
      <c r="I28" s="10" t="s">
        <v>45</v>
      </c>
    </row>
    <row r="29" spans="3:9" x14ac:dyDescent="0.3">
      <c r="C29" s="9" t="s">
        <v>23</v>
      </c>
      <c r="D29" s="9" t="s">
        <v>46</v>
      </c>
      <c r="E29" s="5">
        <v>182382</v>
      </c>
      <c r="F29" s="9" t="s">
        <v>25</v>
      </c>
      <c r="G29" s="9" t="s">
        <v>26</v>
      </c>
      <c r="H29" s="5">
        <v>182382</v>
      </c>
      <c r="I29" s="10" t="s">
        <v>47</v>
      </c>
    </row>
    <row r="30" spans="3:9" x14ac:dyDescent="0.3">
      <c r="C30" s="9" t="s">
        <v>23</v>
      </c>
      <c r="D30" s="9" t="s">
        <v>48</v>
      </c>
      <c r="E30" s="5">
        <v>4956</v>
      </c>
      <c r="F30" s="9" t="s">
        <v>25</v>
      </c>
      <c r="G30" s="9" t="s">
        <v>26</v>
      </c>
      <c r="H30" s="5">
        <v>4956</v>
      </c>
      <c r="I30" s="10" t="s">
        <v>49</v>
      </c>
    </row>
    <row r="31" spans="3:9" x14ac:dyDescent="0.3">
      <c r="C31" s="9" t="s">
        <v>23</v>
      </c>
      <c r="D31" s="9" t="s">
        <v>50</v>
      </c>
      <c r="E31" s="5">
        <v>1267188</v>
      </c>
      <c r="F31" s="9" t="s">
        <v>25</v>
      </c>
      <c r="G31" s="9" t="s">
        <v>26</v>
      </c>
      <c r="H31" s="5">
        <v>1267188</v>
      </c>
      <c r="I31" s="10" t="s">
        <v>51</v>
      </c>
    </row>
    <row r="32" spans="3:9" x14ac:dyDescent="0.3">
      <c r="C32" s="9" t="s">
        <v>52</v>
      </c>
      <c r="D32" s="9" t="s">
        <v>55</v>
      </c>
      <c r="E32" s="5">
        <v>-795603394</v>
      </c>
      <c r="F32" s="9"/>
      <c r="G32" s="9" t="s">
        <v>53</v>
      </c>
      <c r="H32" s="5">
        <v>-795603394</v>
      </c>
      <c r="I32" s="10" t="s">
        <v>54</v>
      </c>
    </row>
    <row r="33" spans="3:9" x14ac:dyDescent="0.3">
      <c r="C33" s="9" t="s">
        <v>52</v>
      </c>
      <c r="D33" s="9" t="s">
        <v>56</v>
      </c>
      <c r="E33" s="5">
        <v>-193603927</v>
      </c>
      <c r="F33" s="9"/>
      <c r="G33" s="9" t="s">
        <v>53</v>
      </c>
      <c r="H33" s="5">
        <v>-193603927</v>
      </c>
      <c r="I33" s="10" t="s">
        <v>54</v>
      </c>
    </row>
    <row r="34" spans="3:9" x14ac:dyDescent="0.3">
      <c r="C34" s="9" t="s">
        <v>52</v>
      </c>
      <c r="D34" s="9" t="s">
        <v>57</v>
      </c>
      <c r="E34" s="5">
        <v>-27876259</v>
      </c>
      <c r="F34" s="9"/>
      <c r="G34" s="9" t="s">
        <v>53</v>
      </c>
      <c r="H34" s="5">
        <v>-27876259</v>
      </c>
      <c r="I34" s="10" t="s">
        <v>54</v>
      </c>
    </row>
    <row r="35" spans="3:9" x14ac:dyDescent="0.3">
      <c r="C35" s="9" t="s">
        <v>58</v>
      </c>
      <c r="D35" s="9" t="s">
        <v>59</v>
      </c>
      <c r="E35" s="5">
        <v>1059035</v>
      </c>
      <c r="F35" s="9" t="s">
        <v>60</v>
      </c>
      <c r="G35" s="9" t="s">
        <v>61</v>
      </c>
      <c r="H35" s="5">
        <v>1059035</v>
      </c>
      <c r="I35" s="10" t="s">
        <v>62</v>
      </c>
    </row>
    <row r="36" spans="3:9" x14ac:dyDescent="0.3">
      <c r="C36" s="9" t="s">
        <v>58</v>
      </c>
      <c r="D36" s="9" t="s">
        <v>59</v>
      </c>
      <c r="E36" s="5">
        <v>481837</v>
      </c>
      <c r="F36" s="9" t="s">
        <v>60</v>
      </c>
      <c r="G36" s="9" t="s">
        <v>61</v>
      </c>
      <c r="H36" s="5">
        <v>481837</v>
      </c>
      <c r="I36" s="10" t="s">
        <v>62</v>
      </c>
    </row>
    <row r="37" spans="3:9" x14ac:dyDescent="0.3">
      <c r="C37" s="9" t="s">
        <v>58</v>
      </c>
      <c r="D37" s="9" t="s">
        <v>59</v>
      </c>
      <c r="E37" s="5">
        <v>110942</v>
      </c>
      <c r="F37" s="9" t="s">
        <v>60</v>
      </c>
      <c r="G37" s="9" t="s">
        <v>61</v>
      </c>
      <c r="H37" s="5">
        <v>110942</v>
      </c>
      <c r="I37" s="10" t="s">
        <v>62</v>
      </c>
    </row>
    <row r="38" spans="3:9" x14ac:dyDescent="0.3">
      <c r="C38" s="9" t="s">
        <v>58</v>
      </c>
      <c r="D38" s="9" t="s">
        <v>59</v>
      </c>
      <c r="E38" s="5">
        <v>97776</v>
      </c>
      <c r="F38" s="9" t="s">
        <v>60</v>
      </c>
      <c r="G38" s="9" t="s">
        <v>61</v>
      </c>
      <c r="H38" s="5">
        <v>97776</v>
      </c>
      <c r="I38" s="10" t="s">
        <v>62</v>
      </c>
    </row>
    <row r="39" spans="3:9" x14ac:dyDescent="0.3">
      <c r="C39" s="9" t="s">
        <v>58</v>
      </c>
      <c r="D39" s="9" t="s">
        <v>63</v>
      </c>
      <c r="E39" s="5">
        <v>6022678</v>
      </c>
      <c r="F39" s="9" t="s">
        <v>25</v>
      </c>
      <c r="G39" s="9">
        <v>987</v>
      </c>
      <c r="H39" s="5">
        <v>6022678</v>
      </c>
      <c r="I39" s="10" t="s">
        <v>64</v>
      </c>
    </row>
    <row r="40" spans="3:9" x14ac:dyDescent="0.3">
      <c r="C40" s="9" t="s">
        <v>58</v>
      </c>
      <c r="D40" s="9" t="s">
        <v>63</v>
      </c>
      <c r="E40" s="5">
        <v>7052198</v>
      </c>
      <c r="F40" s="9" t="s">
        <v>25</v>
      </c>
      <c r="G40" s="9">
        <v>987</v>
      </c>
      <c r="H40" s="5">
        <v>7052198</v>
      </c>
      <c r="I40" s="10" t="s">
        <v>64</v>
      </c>
    </row>
    <row r="41" spans="3:9" x14ac:dyDescent="0.3">
      <c r="C41" s="9" t="s">
        <v>58</v>
      </c>
      <c r="D41" s="9" t="s">
        <v>63</v>
      </c>
      <c r="E41" s="5">
        <v>22568987</v>
      </c>
      <c r="F41" s="9" t="s">
        <v>25</v>
      </c>
      <c r="G41" s="9">
        <v>987</v>
      </c>
      <c r="H41" s="5">
        <v>22568987</v>
      </c>
      <c r="I41" s="10" t="s">
        <v>64</v>
      </c>
    </row>
    <row r="42" spans="3:9" x14ac:dyDescent="0.3">
      <c r="C42" s="9" t="s">
        <v>58</v>
      </c>
      <c r="D42" s="9" t="s">
        <v>63</v>
      </c>
      <c r="E42" s="5">
        <v>8073343</v>
      </c>
      <c r="F42" s="9" t="s">
        <v>25</v>
      </c>
      <c r="G42" s="9">
        <v>987</v>
      </c>
      <c r="H42" s="5">
        <v>8073343</v>
      </c>
      <c r="I42" s="10" t="s">
        <v>64</v>
      </c>
    </row>
    <row r="43" spans="3:9" x14ac:dyDescent="0.3">
      <c r="C43" s="9" t="s">
        <v>58</v>
      </c>
      <c r="D43" s="9" t="s">
        <v>63</v>
      </c>
      <c r="E43" s="5">
        <v>3057002</v>
      </c>
      <c r="F43" s="9" t="s">
        <v>25</v>
      </c>
      <c r="G43" s="9">
        <v>987</v>
      </c>
      <c r="H43" s="5">
        <v>3057002</v>
      </c>
      <c r="I43" s="10" t="s">
        <v>64</v>
      </c>
    </row>
    <row r="44" spans="3:9" x14ac:dyDescent="0.3">
      <c r="C44" s="9" t="s">
        <v>58</v>
      </c>
      <c r="D44" s="9" t="s">
        <v>63</v>
      </c>
      <c r="E44" s="5">
        <v>14421092</v>
      </c>
      <c r="F44" s="9" t="s">
        <v>25</v>
      </c>
      <c r="G44" s="9">
        <v>987</v>
      </c>
      <c r="H44" s="5">
        <v>14421092</v>
      </c>
      <c r="I44" s="10" t="s">
        <v>64</v>
      </c>
    </row>
    <row r="45" spans="3:9" x14ac:dyDescent="0.3">
      <c r="C45" s="9" t="s">
        <v>58</v>
      </c>
      <c r="D45" s="9" t="s">
        <v>63</v>
      </c>
      <c r="E45" s="5">
        <v>6652327</v>
      </c>
      <c r="F45" s="9" t="s">
        <v>25</v>
      </c>
      <c r="G45" s="9">
        <v>987</v>
      </c>
      <c r="H45" s="5">
        <v>6652327</v>
      </c>
      <c r="I45" s="10" t="s">
        <v>64</v>
      </c>
    </row>
    <row r="46" spans="3:9" x14ac:dyDescent="0.3">
      <c r="C46" s="9" t="s">
        <v>58</v>
      </c>
      <c r="D46" s="9" t="s">
        <v>63</v>
      </c>
      <c r="E46" s="5">
        <v>5923198</v>
      </c>
      <c r="F46" s="9" t="s">
        <v>25</v>
      </c>
      <c r="G46" s="9">
        <v>987</v>
      </c>
      <c r="H46" s="5">
        <v>5923198</v>
      </c>
      <c r="I46" s="10" t="s">
        <v>64</v>
      </c>
    </row>
    <row r="47" spans="3:9" x14ac:dyDescent="0.3">
      <c r="C47" s="9" t="s">
        <v>58</v>
      </c>
      <c r="D47" s="9" t="s">
        <v>63</v>
      </c>
      <c r="E47" s="5">
        <v>9458910</v>
      </c>
      <c r="F47" s="9" t="s">
        <v>25</v>
      </c>
      <c r="G47" s="9">
        <v>987</v>
      </c>
      <c r="H47" s="5">
        <v>9458910</v>
      </c>
      <c r="I47" s="10" t="s">
        <v>64</v>
      </c>
    </row>
    <row r="48" spans="3:9" x14ac:dyDescent="0.3">
      <c r="C48" s="9" t="s">
        <v>58</v>
      </c>
      <c r="D48" s="9" t="s">
        <v>63</v>
      </c>
      <c r="E48" s="5">
        <v>52023765</v>
      </c>
      <c r="F48" s="9" t="s">
        <v>25</v>
      </c>
      <c r="G48" s="9">
        <v>987</v>
      </c>
      <c r="H48" s="5">
        <v>52023765</v>
      </c>
      <c r="I48" s="10" t="s">
        <v>64</v>
      </c>
    </row>
    <row r="49" spans="3:9" x14ac:dyDescent="0.3">
      <c r="C49" s="9" t="s">
        <v>58</v>
      </c>
      <c r="D49" s="9" t="s">
        <v>63</v>
      </c>
      <c r="E49" s="5">
        <v>25771569</v>
      </c>
      <c r="F49" s="9" t="s">
        <v>25</v>
      </c>
      <c r="G49" s="9">
        <v>987</v>
      </c>
      <c r="H49" s="5">
        <v>25771569</v>
      </c>
      <c r="I49" s="10" t="s">
        <v>64</v>
      </c>
    </row>
    <row r="50" spans="3:9" x14ac:dyDescent="0.3">
      <c r="C50" s="9" t="s">
        <v>58</v>
      </c>
      <c r="D50" s="9" t="s">
        <v>63</v>
      </c>
      <c r="E50" s="5">
        <v>28813</v>
      </c>
      <c r="F50" s="9" t="s">
        <v>25</v>
      </c>
      <c r="G50" s="9">
        <v>987</v>
      </c>
      <c r="H50" s="5">
        <v>28813</v>
      </c>
      <c r="I50" s="10" t="s">
        <v>64</v>
      </c>
    </row>
    <row r="51" spans="3:9" x14ac:dyDescent="0.3">
      <c r="C51" s="9" t="s">
        <v>58</v>
      </c>
      <c r="D51" s="9" t="s">
        <v>63</v>
      </c>
      <c r="E51" s="5">
        <v>3659996</v>
      </c>
      <c r="F51" s="9" t="s">
        <v>25</v>
      </c>
      <c r="G51" s="9">
        <v>987</v>
      </c>
      <c r="H51" s="5">
        <v>3659996</v>
      </c>
      <c r="I51" s="10" t="s">
        <v>64</v>
      </c>
    </row>
    <row r="52" spans="3:9" x14ac:dyDescent="0.3">
      <c r="C52" s="9" t="s">
        <v>58</v>
      </c>
      <c r="D52" s="9" t="s">
        <v>63</v>
      </c>
      <c r="E52" s="5">
        <v>1074320</v>
      </c>
      <c r="F52" s="9" t="s">
        <v>25</v>
      </c>
      <c r="G52" s="9">
        <v>987</v>
      </c>
      <c r="H52" s="5">
        <v>1074320</v>
      </c>
      <c r="I52" s="10" t="s">
        <v>64</v>
      </c>
    </row>
    <row r="53" spans="3:9" x14ac:dyDescent="0.3">
      <c r="C53" s="9" t="s">
        <v>58</v>
      </c>
      <c r="D53" s="9" t="s">
        <v>63</v>
      </c>
      <c r="E53" s="5">
        <v>8010033</v>
      </c>
      <c r="F53" s="9" t="s">
        <v>25</v>
      </c>
      <c r="G53" s="9">
        <v>987</v>
      </c>
      <c r="H53" s="5">
        <v>8010033</v>
      </c>
      <c r="I53" s="10" t="s">
        <v>64</v>
      </c>
    </row>
    <row r="54" spans="3:9" x14ac:dyDescent="0.3">
      <c r="C54" s="9" t="s">
        <v>58</v>
      </c>
      <c r="D54" s="9" t="s">
        <v>63</v>
      </c>
      <c r="E54" s="5">
        <v>58852874</v>
      </c>
      <c r="F54" s="9" t="s">
        <v>25</v>
      </c>
      <c r="G54" s="9">
        <v>987</v>
      </c>
      <c r="H54" s="5">
        <v>58852874</v>
      </c>
      <c r="I54" s="10" t="s">
        <v>64</v>
      </c>
    </row>
    <row r="55" spans="3:9" x14ac:dyDescent="0.3">
      <c r="C55" s="9" t="s">
        <v>58</v>
      </c>
      <c r="D55" s="9" t="s">
        <v>63</v>
      </c>
      <c r="E55" s="5">
        <v>136694904</v>
      </c>
      <c r="F55" s="9" t="s">
        <v>25</v>
      </c>
      <c r="G55" s="9">
        <v>987</v>
      </c>
      <c r="H55" s="5">
        <v>136694904</v>
      </c>
      <c r="I55" s="10" t="s">
        <v>64</v>
      </c>
    </row>
    <row r="56" spans="3:9" x14ac:dyDescent="0.3">
      <c r="C56" s="9" t="s">
        <v>58</v>
      </c>
      <c r="D56" s="9" t="s">
        <v>63</v>
      </c>
      <c r="E56" s="5">
        <v>23148793</v>
      </c>
      <c r="F56" s="9" t="s">
        <v>25</v>
      </c>
      <c r="G56" s="9">
        <v>987</v>
      </c>
      <c r="H56" s="5">
        <v>23148793</v>
      </c>
      <c r="I56" s="10" t="s">
        <v>64</v>
      </c>
    </row>
    <row r="57" spans="3:9" x14ac:dyDescent="0.3">
      <c r="C57" s="9" t="s">
        <v>58</v>
      </c>
      <c r="D57" s="9" t="s">
        <v>63</v>
      </c>
      <c r="E57" s="5">
        <v>15664649</v>
      </c>
      <c r="F57" s="9" t="s">
        <v>25</v>
      </c>
      <c r="G57" s="9">
        <v>987</v>
      </c>
      <c r="H57" s="5">
        <v>15664649</v>
      </c>
      <c r="I57" s="10" t="s">
        <v>64</v>
      </c>
    </row>
    <row r="58" spans="3:9" x14ac:dyDescent="0.3">
      <c r="C58" s="9" t="s">
        <v>58</v>
      </c>
      <c r="D58" s="9" t="s">
        <v>65</v>
      </c>
      <c r="E58" s="5">
        <v>82067413</v>
      </c>
      <c r="F58" s="9" t="s">
        <v>25</v>
      </c>
      <c r="G58" s="9">
        <v>987</v>
      </c>
      <c r="H58" s="5">
        <v>82067413</v>
      </c>
      <c r="I58" s="10" t="s">
        <v>66</v>
      </c>
    </row>
    <row r="59" spans="3:9" x14ac:dyDescent="0.3">
      <c r="C59" s="9" t="s">
        <v>58</v>
      </c>
      <c r="D59" s="9" t="s">
        <v>63</v>
      </c>
      <c r="E59" s="5">
        <v>209929</v>
      </c>
      <c r="F59" s="9" t="s">
        <v>25</v>
      </c>
      <c r="G59" s="9">
        <v>987</v>
      </c>
      <c r="H59" s="5">
        <v>209929</v>
      </c>
      <c r="I59" s="10" t="s">
        <v>64</v>
      </c>
    </row>
    <row r="60" spans="3:9" x14ac:dyDescent="0.3">
      <c r="C60" s="9" t="s">
        <v>58</v>
      </c>
      <c r="D60" s="9" t="s">
        <v>67</v>
      </c>
      <c r="E60" s="5">
        <v>22013501</v>
      </c>
      <c r="F60" s="9" t="s">
        <v>68</v>
      </c>
      <c r="G60" s="9" t="s">
        <v>69</v>
      </c>
      <c r="H60" s="5">
        <v>22013501</v>
      </c>
      <c r="I60" s="10" t="s">
        <v>70</v>
      </c>
    </row>
    <row r="61" spans="3:9" x14ac:dyDescent="0.3">
      <c r="C61" s="9" t="s">
        <v>71</v>
      </c>
      <c r="D61" s="9" t="s">
        <v>40</v>
      </c>
      <c r="E61" s="5">
        <v>-91703429</v>
      </c>
      <c r="F61" s="9"/>
      <c r="G61" s="9"/>
      <c r="H61" s="5">
        <v>-91703429</v>
      </c>
      <c r="I61" s="10" t="s">
        <v>72</v>
      </c>
    </row>
    <row r="62" spans="3:9" x14ac:dyDescent="0.3">
      <c r="C62" s="9" t="s">
        <v>71</v>
      </c>
      <c r="D62" s="9" t="s">
        <v>73</v>
      </c>
      <c r="E62" s="5">
        <v>-19509586</v>
      </c>
      <c r="F62" s="9"/>
      <c r="G62" s="9"/>
      <c r="H62" s="5">
        <v>-19509586</v>
      </c>
      <c r="I62" s="10" t="s">
        <v>74</v>
      </c>
    </row>
    <row r="63" spans="3:9" x14ac:dyDescent="0.3">
      <c r="C63" s="9" t="s">
        <v>71</v>
      </c>
      <c r="D63" s="9" t="s">
        <v>42</v>
      </c>
      <c r="E63" s="5">
        <v>-357532623</v>
      </c>
      <c r="F63" s="9"/>
      <c r="G63" s="9"/>
      <c r="H63" s="5">
        <v>-357532623</v>
      </c>
      <c r="I63" s="10" t="s">
        <v>75</v>
      </c>
    </row>
    <row r="64" spans="3:9" x14ac:dyDescent="0.3">
      <c r="C64" s="9" t="s">
        <v>71</v>
      </c>
      <c r="D64" s="9" t="s">
        <v>38</v>
      </c>
      <c r="E64" s="5">
        <v>-27974992</v>
      </c>
      <c r="F64" s="9"/>
      <c r="G64" s="9"/>
      <c r="H64" s="5">
        <v>-27974992</v>
      </c>
      <c r="I64" s="10" t="s">
        <v>76</v>
      </c>
    </row>
    <row r="65" spans="3:9" x14ac:dyDescent="0.3">
      <c r="C65" s="9" t="s">
        <v>71</v>
      </c>
      <c r="D65" s="9" t="s">
        <v>28</v>
      </c>
      <c r="E65" s="5">
        <v>-334587580</v>
      </c>
      <c r="F65" s="9"/>
      <c r="G65" s="9"/>
      <c r="H65" s="5">
        <v>-334587580</v>
      </c>
      <c r="I65" s="10" t="s">
        <v>77</v>
      </c>
    </row>
    <row r="66" spans="3:9" x14ac:dyDescent="0.3">
      <c r="C66" s="9" t="s">
        <v>71</v>
      </c>
      <c r="D66" s="9" t="s">
        <v>46</v>
      </c>
      <c r="E66" s="5">
        <v>-111183834</v>
      </c>
      <c r="F66" s="9"/>
      <c r="G66" s="9"/>
      <c r="H66" s="5">
        <v>-111183834</v>
      </c>
      <c r="I66" s="10" t="s">
        <v>78</v>
      </c>
    </row>
    <row r="67" spans="3:9" x14ac:dyDescent="0.3">
      <c r="C67" s="9" t="s">
        <v>71</v>
      </c>
      <c r="D67" s="9" t="s">
        <v>48</v>
      </c>
      <c r="E67" s="5">
        <v>-19850219</v>
      </c>
      <c r="F67" s="9"/>
      <c r="G67" s="9"/>
      <c r="H67" s="5">
        <v>-19850219</v>
      </c>
      <c r="I67" s="10" t="s">
        <v>79</v>
      </c>
    </row>
    <row r="68" spans="3:9" x14ac:dyDescent="0.3">
      <c r="C68" s="9" t="s">
        <v>71</v>
      </c>
      <c r="D68" s="9" t="s">
        <v>80</v>
      </c>
      <c r="E68" s="5">
        <v>-20008459</v>
      </c>
      <c r="F68" s="9"/>
      <c r="G68" s="9"/>
      <c r="H68" s="5">
        <v>-20008459</v>
      </c>
      <c r="I68" s="10" t="s">
        <v>81</v>
      </c>
    </row>
    <row r="69" spans="3:9" x14ac:dyDescent="0.3">
      <c r="C69" s="9" t="s">
        <v>71</v>
      </c>
      <c r="D69" s="9" t="s">
        <v>82</v>
      </c>
      <c r="E69" s="5">
        <v>-11842275</v>
      </c>
      <c r="F69" s="9"/>
      <c r="G69" s="9"/>
      <c r="H69" s="5">
        <v>-11842275</v>
      </c>
      <c r="I69" s="10" t="s">
        <v>83</v>
      </c>
    </row>
    <row r="70" spans="3:9" x14ac:dyDescent="0.3">
      <c r="C70" s="9" t="s">
        <v>71</v>
      </c>
      <c r="D70" s="9" t="s">
        <v>84</v>
      </c>
      <c r="E70" s="5">
        <v>-223440</v>
      </c>
      <c r="F70" s="9"/>
      <c r="G70" s="9"/>
      <c r="H70" s="5">
        <v>-223440</v>
      </c>
      <c r="I70" s="10" t="s">
        <v>85</v>
      </c>
    </row>
    <row r="71" spans="3:9" x14ac:dyDescent="0.3">
      <c r="C71" s="9" t="s">
        <v>71</v>
      </c>
      <c r="D71" s="9" t="s">
        <v>44</v>
      </c>
      <c r="E71" s="5">
        <v>-65729254</v>
      </c>
      <c r="F71" s="9"/>
      <c r="G71" s="9"/>
      <c r="H71" s="5">
        <v>-65729254</v>
      </c>
      <c r="I71" s="10" t="s">
        <v>86</v>
      </c>
    </row>
    <row r="72" spans="3:9" x14ac:dyDescent="0.3">
      <c r="C72" s="9" t="s">
        <v>71</v>
      </c>
      <c r="D72" s="9" t="s">
        <v>87</v>
      </c>
      <c r="E72" s="5">
        <v>-2457840</v>
      </c>
      <c r="F72" s="9"/>
      <c r="G72" s="9"/>
      <c r="H72" s="5">
        <v>-2457840</v>
      </c>
      <c r="I72" s="10" t="s">
        <v>88</v>
      </c>
    </row>
    <row r="73" spans="3:9" x14ac:dyDescent="0.3">
      <c r="C73" s="9" t="s">
        <v>71</v>
      </c>
      <c r="D73" s="9" t="s">
        <v>89</v>
      </c>
      <c r="E73" s="5">
        <v>-28749643</v>
      </c>
      <c r="F73" s="9"/>
      <c r="G73" s="9"/>
      <c r="H73" s="5">
        <v>-28749643</v>
      </c>
      <c r="I73" s="10" t="s">
        <v>90</v>
      </c>
    </row>
    <row r="74" spans="3:9" x14ac:dyDescent="0.3">
      <c r="C74" s="9" t="s">
        <v>71</v>
      </c>
      <c r="D74" s="9" t="s">
        <v>34</v>
      </c>
      <c r="E74" s="5">
        <v>-23118825</v>
      </c>
      <c r="F74" s="9"/>
      <c r="G74" s="9"/>
      <c r="H74" s="5">
        <v>-23118825</v>
      </c>
      <c r="I74" s="10" t="s">
        <v>91</v>
      </c>
    </row>
    <row r="75" spans="3:9" x14ac:dyDescent="0.3">
      <c r="C75" s="9" t="s">
        <v>71</v>
      </c>
      <c r="D75" s="9" t="s">
        <v>36</v>
      </c>
      <c r="E75" s="5">
        <v>-64246828</v>
      </c>
      <c r="F75" s="9"/>
      <c r="G75" s="9"/>
      <c r="H75" s="5">
        <v>-64246828</v>
      </c>
      <c r="I75" s="10" t="s">
        <v>92</v>
      </c>
    </row>
    <row r="76" spans="3:9" x14ac:dyDescent="0.3">
      <c r="C76" s="9" t="s">
        <v>71</v>
      </c>
      <c r="D76" s="9" t="s">
        <v>30</v>
      </c>
      <c r="E76" s="5">
        <v>-21513304</v>
      </c>
      <c r="F76" s="9"/>
      <c r="G76" s="9"/>
      <c r="H76" s="5">
        <v>-21513304</v>
      </c>
      <c r="I76" s="10" t="s">
        <v>93</v>
      </c>
    </row>
    <row r="77" spans="3:9" x14ac:dyDescent="0.3">
      <c r="C77" s="9" t="s">
        <v>71</v>
      </c>
      <c r="D77" s="9" t="s">
        <v>32</v>
      </c>
      <c r="E77" s="5">
        <v>-111539485</v>
      </c>
      <c r="F77" s="9"/>
      <c r="G77" s="9"/>
      <c r="H77" s="5">
        <v>-111539485</v>
      </c>
      <c r="I77" s="10" t="s">
        <v>94</v>
      </c>
    </row>
    <row r="78" spans="3:9" x14ac:dyDescent="0.3">
      <c r="C78" s="9" t="s">
        <v>71</v>
      </c>
      <c r="D78" s="9" t="s">
        <v>95</v>
      </c>
      <c r="E78" s="5">
        <v>-24310076</v>
      </c>
      <c r="F78" s="9"/>
      <c r="G78" s="9"/>
      <c r="H78" s="5">
        <v>-24310076</v>
      </c>
      <c r="I78" s="10" t="s">
        <v>96</v>
      </c>
    </row>
    <row r="79" spans="3:9" x14ac:dyDescent="0.3">
      <c r="C79" s="9" t="s">
        <v>71</v>
      </c>
      <c r="D79" s="9" t="s">
        <v>97</v>
      </c>
      <c r="E79" s="5">
        <v>-25908600</v>
      </c>
      <c r="F79" s="9"/>
      <c r="G79" s="9"/>
      <c r="H79" s="5">
        <v>-25908600</v>
      </c>
      <c r="I79" s="10" t="s">
        <v>98</v>
      </c>
    </row>
    <row r="80" spans="3:9" x14ac:dyDescent="0.3">
      <c r="C80" s="9" t="s">
        <v>71</v>
      </c>
      <c r="D80" s="9" t="s">
        <v>99</v>
      </c>
      <c r="E80" s="5">
        <v>-18919275</v>
      </c>
      <c r="F80" s="9"/>
      <c r="G80" s="9"/>
      <c r="H80" s="5">
        <v>-18919275</v>
      </c>
      <c r="I80" s="10" t="s">
        <v>100</v>
      </c>
    </row>
    <row r="81" spans="3:9" x14ac:dyDescent="0.3">
      <c r="C81" s="9" t="s">
        <v>71</v>
      </c>
      <c r="D81" s="9" t="s">
        <v>24</v>
      </c>
      <c r="E81" s="5">
        <v>-8387269</v>
      </c>
      <c r="F81" s="9"/>
      <c r="G81" s="9"/>
      <c r="H81" s="5">
        <v>-8387269</v>
      </c>
      <c r="I81" s="10" t="s">
        <v>101</v>
      </c>
    </row>
    <row r="82" spans="3:9" x14ac:dyDescent="0.3">
      <c r="C82" s="9" t="s">
        <v>71</v>
      </c>
      <c r="D82" s="9" t="s">
        <v>50</v>
      </c>
      <c r="E82" s="5">
        <v>-154734955</v>
      </c>
      <c r="F82" s="9"/>
      <c r="G82" s="9"/>
      <c r="H82" s="5">
        <v>-154734955</v>
      </c>
      <c r="I82" s="10" t="s">
        <v>102</v>
      </c>
    </row>
    <row r="83" spans="3:9" x14ac:dyDescent="0.3">
      <c r="C83" s="9" t="s">
        <v>71</v>
      </c>
      <c r="D83" s="9" t="s">
        <v>103</v>
      </c>
      <c r="E83" s="5">
        <v>-11408205</v>
      </c>
      <c r="F83" s="9"/>
      <c r="G83" s="9"/>
      <c r="H83" s="5">
        <v>-11408205</v>
      </c>
      <c r="I83" s="10" t="s">
        <v>104</v>
      </c>
    </row>
    <row r="84" spans="3:9" x14ac:dyDescent="0.3">
      <c r="C84" s="9" t="s">
        <v>105</v>
      </c>
      <c r="D84" s="9" t="s">
        <v>106</v>
      </c>
      <c r="E84" s="5">
        <v>5876</v>
      </c>
      <c r="F84" s="9" t="s">
        <v>60</v>
      </c>
      <c r="G84" s="9" t="s">
        <v>61</v>
      </c>
      <c r="H84" s="5">
        <v>5876</v>
      </c>
      <c r="I84" s="10" t="s">
        <v>107</v>
      </c>
    </row>
    <row r="85" spans="3:9" x14ac:dyDescent="0.3">
      <c r="C85" s="9" t="s">
        <v>105</v>
      </c>
      <c r="D85" s="9" t="s">
        <v>108</v>
      </c>
      <c r="E85" s="5">
        <v>2743</v>
      </c>
      <c r="F85" s="9" t="s">
        <v>60</v>
      </c>
      <c r="G85" s="9" t="s">
        <v>61</v>
      </c>
      <c r="H85" s="5">
        <v>2743</v>
      </c>
      <c r="I85" s="10" t="s">
        <v>109</v>
      </c>
    </row>
    <row r="86" spans="3:9" x14ac:dyDescent="0.3">
      <c r="C86" s="9" t="s">
        <v>105</v>
      </c>
      <c r="D86" s="9" t="s">
        <v>110</v>
      </c>
      <c r="E86" s="5">
        <v>13069</v>
      </c>
      <c r="F86" s="9" t="s">
        <v>60</v>
      </c>
      <c r="G86" s="9" t="s">
        <v>61</v>
      </c>
      <c r="H86" s="5">
        <v>13069</v>
      </c>
      <c r="I86" s="10" t="s">
        <v>111</v>
      </c>
    </row>
    <row r="87" spans="3:9" x14ac:dyDescent="0.3">
      <c r="C87" s="9"/>
      <c r="D87" s="9" t="s">
        <v>65</v>
      </c>
      <c r="E87" s="5">
        <v>-1017083580</v>
      </c>
      <c r="F87" s="9"/>
      <c r="G87" s="9"/>
      <c r="H87" s="5">
        <v>-1017083580</v>
      </c>
      <c r="I87" s="10" t="s">
        <v>112</v>
      </c>
    </row>
    <row r="88" spans="3:9" x14ac:dyDescent="0.3">
      <c r="C88" s="9"/>
      <c r="D88" s="9" t="s">
        <v>65</v>
      </c>
      <c r="E88" s="5">
        <v>-20341671.600000001</v>
      </c>
      <c r="F88" s="9"/>
      <c r="G88" s="9"/>
      <c r="H88" s="5">
        <v>-20341671.600000001</v>
      </c>
      <c r="I88" s="10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"/>
  <sheetViews>
    <sheetView workbookViewId="0"/>
  </sheetViews>
  <sheetFormatPr defaultRowHeight="14.4" x14ac:dyDescent="0.3"/>
  <cols>
    <col min="1" max="1" width="12.77734375" customWidth="1"/>
    <col min="2" max="2" width="8.77734375" customWidth="1"/>
    <col min="3" max="3" width="24.77734375" customWidth="1"/>
    <col min="4" max="4" width="35.21875" customWidth="1"/>
    <col min="5" max="5" width="18.77734375" customWidth="1"/>
    <col min="6" max="6" width="13.77734375" customWidth="1"/>
    <col min="7" max="7" width="17.77734375" customWidth="1"/>
    <col min="8" max="8" width="15.5546875" customWidth="1"/>
    <col min="9" max="9" width="12.77734375" customWidth="1"/>
    <col min="10" max="10" width="22.77734375" customWidth="1"/>
    <col min="11" max="11" width="17.77734375" customWidth="1"/>
    <col min="12" max="12" width="17.5546875" customWidth="1"/>
    <col min="13" max="13" width="46.44140625" customWidth="1"/>
    <col min="14" max="14" width="35.5546875" customWidth="1"/>
    <col min="15" max="15" width="16.88671875" customWidth="1"/>
    <col min="16" max="16" width="8.77734375" customWidth="1"/>
  </cols>
  <sheetData>
    <row r="1" spans="1:15" ht="49.95" customHeight="1" x14ac:dyDescent="0.3">
      <c r="A1" s="17" t="s">
        <v>113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5" ht="15.6" customHeight="1" x14ac:dyDescent="0.3">
      <c r="A2" s="11" t="s">
        <v>114</v>
      </c>
      <c r="B2" s="11" t="s">
        <v>115</v>
      </c>
      <c r="C2" s="11" t="s">
        <v>116</v>
      </c>
      <c r="D2" s="11" t="s">
        <v>117</v>
      </c>
      <c r="E2" s="12" t="s">
        <v>10</v>
      </c>
      <c r="F2" s="11" t="s">
        <v>118</v>
      </c>
      <c r="G2" s="11" t="s">
        <v>119</v>
      </c>
      <c r="H2" s="12" t="s">
        <v>120</v>
      </c>
      <c r="I2" s="11" t="s">
        <v>121</v>
      </c>
      <c r="J2" s="11" t="s">
        <v>122</v>
      </c>
      <c r="K2" s="12" t="s">
        <v>123</v>
      </c>
      <c r="L2" s="11" t="s">
        <v>124</v>
      </c>
      <c r="M2" s="11" t="s">
        <v>125</v>
      </c>
      <c r="N2" s="13" t="s">
        <v>126</v>
      </c>
      <c r="O2" s="13" t="s">
        <v>127</v>
      </c>
    </row>
    <row r="3" spans="1:15" x14ac:dyDescent="0.3">
      <c r="A3" s="14">
        <v>313</v>
      </c>
      <c r="B3" s="14" t="s">
        <v>2</v>
      </c>
      <c r="C3" s="14">
        <v>860002518</v>
      </c>
      <c r="D3" s="14" t="s">
        <v>128</v>
      </c>
      <c r="E3" s="14" t="s">
        <v>24</v>
      </c>
      <c r="F3" s="14" t="s">
        <v>129</v>
      </c>
      <c r="G3" s="14">
        <v>5100335942</v>
      </c>
      <c r="H3" s="14" t="s">
        <v>23</v>
      </c>
      <c r="I3" s="14" t="s">
        <v>130</v>
      </c>
      <c r="J3" s="14">
        <v>0</v>
      </c>
      <c r="K3" s="15">
        <v>4956</v>
      </c>
      <c r="L3" s="14" t="s">
        <v>131</v>
      </c>
      <c r="N3" s="16" t="str">
        <f>+H3&amp;" "&amp;E3</f>
        <v>Reduc Factura Compra PMP1276670</v>
      </c>
      <c r="O3" s="16" t="s">
        <v>132</v>
      </c>
    </row>
    <row r="4" spans="1:15" x14ac:dyDescent="0.3">
      <c r="A4" s="14">
        <v>314</v>
      </c>
      <c r="B4" s="14" t="s">
        <v>2</v>
      </c>
      <c r="C4" s="14">
        <v>860002518</v>
      </c>
      <c r="D4" s="14" t="s">
        <v>128</v>
      </c>
      <c r="E4" s="14" t="s">
        <v>24</v>
      </c>
      <c r="F4" s="14" t="s">
        <v>129</v>
      </c>
      <c r="G4" s="14">
        <v>5100335941</v>
      </c>
      <c r="H4" s="14" t="s">
        <v>71</v>
      </c>
      <c r="I4" s="14" t="s">
        <v>130</v>
      </c>
      <c r="J4" s="14">
        <v>0</v>
      </c>
      <c r="K4" s="15">
        <v>-8387269</v>
      </c>
      <c r="L4" s="14" t="s">
        <v>131</v>
      </c>
      <c r="N4" s="16" t="str">
        <f>+H4&amp;" "&amp; E4</f>
        <v>Factura Acrededor PMP1276670</v>
      </c>
      <c r="O4" s="16" t="s">
        <v>133</v>
      </c>
    </row>
    <row r="5" spans="1:15" x14ac:dyDescent="0.3">
      <c r="A5" s="14">
        <v>318</v>
      </c>
      <c r="B5" s="14" t="s">
        <v>2</v>
      </c>
      <c r="C5" s="14">
        <v>860002518</v>
      </c>
      <c r="D5" s="14" t="s">
        <v>128</v>
      </c>
      <c r="E5" s="14" t="s">
        <v>48</v>
      </c>
      <c r="F5" s="14" t="s">
        <v>129</v>
      </c>
      <c r="G5" s="14">
        <v>5100337112</v>
      </c>
      <c r="H5" s="14" t="s">
        <v>23</v>
      </c>
      <c r="I5" s="14" t="s">
        <v>134</v>
      </c>
      <c r="J5" s="14">
        <v>0</v>
      </c>
      <c r="K5" s="15">
        <v>4956</v>
      </c>
      <c r="M5" s="14" t="s">
        <v>135</v>
      </c>
      <c r="N5" s="16" t="str">
        <f>+H5&amp;" "&amp;E5</f>
        <v>Reduc Factura Compra PMP1276992</v>
      </c>
      <c r="O5" s="16" t="s">
        <v>132</v>
      </c>
    </row>
    <row r="6" spans="1:15" x14ac:dyDescent="0.3">
      <c r="A6" s="14">
        <v>319</v>
      </c>
      <c r="B6" s="14" t="s">
        <v>2</v>
      </c>
      <c r="C6" s="14">
        <v>860002518</v>
      </c>
      <c r="D6" s="14" t="s">
        <v>128</v>
      </c>
      <c r="E6" s="14" t="s">
        <v>80</v>
      </c>
      <c r="F6" s="14" t="s">
        <v>129</v>
      </c>
      <c r="G6" s="14">
        <v>5100337864</v>
      </c>
      <c r="H6" s="14" t="s">
        <v>71</v>
      </c>
      <c r="I6" s="14" t="s">
        <v>134</v>
      </c>
      <c r="J6" s="14">
        <v>0</v>
      </c>
      <c r="K6" s="15">
        <v>-20008459</v>
      </c>
      <c r="L6" s="14" t="s">
        <v>136</v>
      </c>
      <c r="M6" s="14" t="s">
        <v>128</v>
      </c>
      <c r="N6" s="16" t="str">
        <f>+H6&amp;" "&amp; E6</f>
        <v>Factura Acrededor PMP1277139</v>
      </c>
      <c r="O6" s="16" t="s">
        <v>133</v>
      </c>
    </row>
    <row r="7" spans="1:15" x14ac:dyDescent="0.3">
      <c r="A7" s="14">
        <v>320</v>
      </c>
      <c r="B7" s="14" t="s">
        <v>2</v>
      </c>
      <c r="C7" s="14">
        <v>860002518</v>
      </c>
      <c r="D7" s="14" t="s">
        <v>128</v>
      </c>
      <c r="E7" s="14" t="s">
        <v>48</v>
      </c>
      <c r="F7" s="14" t="s">
        <v>129</v>
      </c>
      <c r="G7" s="14">
        <v>5100337111</v>
      </c>
      <c r="H7" s="14" t="s">
        <v>71</v>
      </c>
      <c r="I7" s="14" t="s">
        <v>134</v>
      </c>
      <c r="J7" s="14">
        <v>0</v>
      </c>
      <c r="K7" s="15">
        <v>-19850219</v>
      </c>
      <c r="M7" s="14" t="s">
        <v>135</v>
      </c>
      <c r="N7" s="16" t="str">
        <f>+H7&amp;" "&amp; E7</f>
        <v>Factura Acrededor PMP1276992</v>
      </c>
      <c r="O7" s="16" t="s">
        <v>133</v>
      </c>
    </row>
    <row r="8" spans="1:15" x14ac:dyDescent="0.3">
      <c r="A8" s="14">
        <v>348</v>
      </c>
      <c r="B8" s="14" t="s">
        <v>2</v>
      </c>
      <c r="C8" s="14">
        <v>860002518</v>
      </c>
      <c r="D8" s="14" t="s">
        <v>128</v>
      </c>
      <c r="E8" s="14" t="s">
        <v>63</v>
      </c>
      <c r="F8" s="14" t="s">
        <v>129</v>
      </c>
      <c r="G8" s="14">
        <v>1700028193</v>
      </c>
      <c r="H8" s="14" t="s">
        <v>58</v>
      </c>
      <c r="I8" s="14" t="s">
        <v>137</v>
      </c>
      <c r="J8" s="14">
        <v>0</v>
      </c>
      <c r="K8" s="15">
        <v>15664649</v>
      </c>
      <c r="M8" s="16" t="s">
        <v>138</v>
      </c>
      <c r="N8" s="16" t="str">
        <f t="shared" ref="N8:N15" si="0">+M8</f>
        <v>NOTA DEVOLUCIÓN POR DEPURACIÓN INVENTARIO SEP 25</v>
      </c>
      <c r="O8" s="16" t="s">
        <v>132</v>
      </c>
    </row>
    <row r="9" spans="1:15" x14ac:dyDescent="0.3">
      <c r="A9" s="14">
        <v>350</v>
      </c>
      <c r="B9" s="14" t="s">
        <v>2</v>
      </c>
      <c r="C9" s="14">
        <v>860002518</v>
      </c>
      <c r="D9" s="14" t="s">
        <v>128</v>
      </c>
      <c r="E9" s="14" t="s">
        <v>63</v>
      </c>
      <c r="F9" s="14" t="s">
        <v>129</v>
      </c>
      <c r="G9" s="14">
        <v>1700028002</v>
      </c>
      <c r="H9" s="14" t="s">
        <v>58</v>
      </c>
      <c r="I9" s="14" t="s">
        <v>137</v>
      </c>
      <c r="J9" s="14">
        <v>0</v>
      </c>
      <c r="K9" s="15">
        <v>23148793</v>
      </c>
      <c r="L9" s="14" t="s">
        <v>139</v>
      </c>
      <c r="M9" s="14" t="s">
        <v>138</v>
      </c>
      <c r="N9" s="16" t="str">
        <f t="shared" si="0"/>
        <v>NOTA DEVOLUCIÓN POR DEPURACIÓN INVENTARIO SEP 25</v>
      </c>
      <c r="O9" s="16" t="s">
        <v>132</v>
      </c>
    </row>
    <row r="10" spans="1:15" x14ac:dyDescent="0.3">
      <c r="A10" s="14">
        <v>351</v>
      </c>
      <c r="B10" s="14" t="s">
        <v>2</v>
      </c>
      <c r="C10" s="14">
        <v>860002518</v>
      </c>
      <c r="D10" s="14" t="s">
        <v>128</v>
      </c>
      <c r="E10" s="14" t="s">
        <v>63</v>
      </c>
      <c r="F10" s="14" t="s">
        <v>129</v>
      </c>
      <c r="G10" s="14">
        <v>1700027852</v>
      </c>
      <c r="H10" s="14" t="s">
        <v>58</v>
      </c>
      <c r="I10" s="14" t="s">
        <v>137</v>
      </c>
      <c r="J10" s="14">
        <v>0</v>
      </c>
      <c r="K10" s="15">
        <v>136694904</v>
      </c>
      <c r="L10" s="14" t="s">
        <v>136</v>
      </c>
      <c r="M10" s="14" t="s">
        <v>138</v>
      </c>
      <c r="N10" s="16" t="str">
        <f t="shared" si="0"/>
        <v>NOTA DEVOLUCIÓN POR DEPURACIÓN INVENTARIO SEP 25</v>
      </c>
      <c r="O10" s="16" t="s">
        <v>132</v>
      </c>
    </row>
    <row r="11" spans="1:15" x14ac:dyDescent="0.3">
      <c r="A11" s="14">
        <v>352</v>
      </c>
      <c r="B11" s="14" t="s">
        <v>2</v>
      </c>
      <c r="C11" s="14">
        <v>860002518</v>
      </c>
      <c r="D11" s="14" t="s">
        <v>128</v>
      </c>
      <c r="E11" s="14" t="s">
        <v>63</v>
      </c>
      <c r="F11" s="14" t="s">
        <v>129</v>
      </c>
      <c r="G11" s="14">
        <v>1700027696</v>
      </c>
      <c r="H11" s="14" t="s">
        <v>58</v>
      </c>
      <c r="I11" s="14" t="s">
        <v>137</v>
      </c>
      <c r="J11" s="14">
        <v>0</v>
      </c>
      <c r="K11" s="15">
        <v>58852874</v>
      </c>
      <c r="L11" s="14" t="s">
        <v>140</v>
      </c>
      <c r="M11" s="14" t="s">
        <v>138</v>
      </c>
      <c r="N11" s="16" t="str">
        <f t="shared" si="0"/>
        <v>NOTA DEVOLUCIÓN POR DEPURACIÓN INVENTARIO SEP 25</v>
      </c>
      <c r="O11" s="16" t="s">
        <v>132</v>
      </c>
    </row>
    <row r="12" spans="1:15" x14ac:dyDescent="0.3">
      <c r="A12" s="14">
        <v>353</v>
      </c>
      <c r="B12" s="14" t="s">
        <v>2</v>
      </c>
      <c r="C12" s="14">
        <v>860002518</v>
      </c>
      <c r="D12" s="14" t="s">
        <v>128</v>
      </c>
      <c r="E12" s="14" t="s">
        <v>63</v>
      </c>
      <c r="F12" s="14" t="s">
        <v>129</v>
      </c>
      <c r="G12" s="14">
        <v>1700027502</v>
      </c>
      <c r="H12" s="14" t="s">
        <v>58</v>
      </c>
      <c r="I12" s="14" t="s">
        <v>137</v>
      </c>
      <c r="J12" s="14">
        <v>0</v>
      </c>
      <c r="K12" s="15">
        <v>25771569</v>
      </c>
      <c r="L12" s="14" t="s">
        <v>141</v>
      </c>
      <c r="M12" s="14" t="s">
        <v>138</v>
      </c>
      <c r="N12" s="16" t="str">
        <f t="shared" si="0"/>
        <v>NOTA DEVOLUCIÓN POR DEPURACIÓN INVENTARIO SEP 25</v>
      </c>
      <c r="O12" s="16" t="s">
        <v>132</v>
      </c>
    </row>
    <row r="13" spans="1:15" x14ac:dyDescent="0.3">
      <c r="A13" s="14">
        <v>358</v>
      </c>
      <c r="B13" s="14" t="s">
        <v>2</v>
      </c>
      <c r="C13" s="14">
        <v>860002518</v>
      </c>
      <c r="D13" s="14" t="s">
        <v>128</v>
      </c>
      <c r="E13" s="14" t="s">
        <v>59</v>
      </c>
      <c r="F13" s="14" t="s">
        <v>129</v>
      </c>
      <c r="G13" s="14">
        <v>1700028339</v>
      </c>
      <c r="H13" s="14" t="s">
        <v>58</v>
      </c>
      <c r="I13" s="14" t="s">
        <v>142</v>
      </c>
      <c r="J13" s="14">
        <v>0</v>
      </c>
      <c r="K13" s="15">
        <v>110942</v>
      </c>
      <c r="L13" s="14" t="s">
        <v>136</v>
      </c>
      <c r="M13" s="16" t="s">
        <v>143</v>
      </c>
      <c r="N13" s="16" t="str">
        <f t="shared" si="0"/>
        <v>Dev.&gt;.a.30.dias.en.CEDI.8_Sep_</v>
      </c>
      <c r="O13" s="16" t="s">
        <v>144</v>
      </c>
    </row>
    <row r="14" spans="1:15" x14ac:dyDescent="0.3">
      <c r="A14" s="14">
        <v>360</v>
      </c>
      <c r="B14" s="14" t="s">
        <v>2</v>
      </c>
      <c r="C14" s="14">
        <v>860002518</v>
      </c>
      <c r="D14" s="14" t="s">
        <v>128</v>
      </c>
      <c r="F14" s="14" t="s">
        <v>129</v>
      </c>
      <c r="G14" s="14">
        <v>1700028683</v>
      </c>
      <c r="H14" s="14" t="s">
        <v>58</v>
      </c>
      <c r="I14" s="14" t="s">
        <v>145</v>
      </c>
      <c r="J14" s="14">
        <v>0</v>
      </c>
      <c r="K14" s="15">
        <v>82067413</v>
      </c>
      <c r="L14" s="14" t="s">
        <v>136</v>
      </c>
      <c r="M14" s="14" t="s">
        <v>146</v>
      </c>
      <c r="N14" s="16" t="str">
        <f t="shared" si="0"/>
        <v>DDPD UNILEVER MIN 2Q 2025</v>
      </c>
      <c r="O14" s="16" t="s">
        <v>132</v>
      </c>
    </row>
    <row r="15" spans="1:15" x14ac:dyDescent="0.3">
      <c r="A15" s="14">
        <v>363</v>
      </c>
      <c r="B15" s="14" t="s">
        <v>2</v>
      </c>
      <c r="C15" s="14">
        <v>860002518</v>
      </c>
      <c r="D15" s="14" t="s">
        <v>128</v>
      </c>
      <c r="E15" s="14" t="s">
        <v>67</v>
      </c>
      <c r="F15" s="14" t="s">
        <v>129</v>
      </c>
      <c r="G15" s="14">
        <v>1700028726</v>
      </c>
      <c r="H15" s="14" t="s">
        <v>58</v>
      </c>
      <c r="I15" s="14" t="s">
        <v>129</v>
      </c>
      <c r="J15" s="14">
        <v>0</v>
      </c>
      <c r="K15" s="15">
        <v>22013501</v>
      </c>
      <c r="M15" s="14" t="s">
        <v>147</v>
      </c>
      <c r="N15" s="16" t="str">
        <f t="shared" si="0"/>
        <v>DCTO 2.00% GLOBAL PAGO ANTICIPADO UNILEVER</v>
      </c>
      <c r="O15" s="16" t="s">
        <v>148</v>
      </c>
    </row>
    <row r="16" spans="1:15" x14ac:dyDescent="0.3">
      <c r="A16" s="14">
        <v>605</v>
      </c>
      <c r="B16" s="14" t="s">
        <v>2</v>
      </c>
      <c r="C16" s="14">
        <v>860002518</v>
      </c>
      <c r="D16" s="14" t="s">
        <v>128</v>
      </c>
      <c r="E16" s="14" t="s">
        <v>34</v>
      </c>
      <c r="F16" s="14" t="s">
        <v>129</v>
      </c>
      <c r="G16" s="14">
        <v>5100335935</v>
      </c>
      <c r="H16" s="14" t="s">
        <v>71</v>
      </c>
      <c r="I16" s="14" t="s">
        <v>130</v>
      </c>
      <c r="J16" s="14">
        <v>0</v>
      </c>
      <c r="K16" s="15">
        <v>-23118825</v>
      </c>
      <c r="L16" s="14" t="s">
        <v>131</v>
      </c>
      <c r="N16" s="16" t="str">
        <f>+H16&amp;" "&amp; E16</f>
        <v>Factura Acrededor PMP1276671</v>
      </c>
      <c r="O16" s="16" t="s">
        <v>133</v>
      </c>
    </row>
    <row r="17" spans="1:15" x14ac:dyDescent="0.3">
      <c r="A17" s="14">
        <v>606</v>
      </c>
      <c r="B17" s="14" t="s">
        <v>2</v>
      </c>
      <c r="C17" s="14">
        <v>860002518</v>
      </c>
      <c r="D17" s="14" t="s">
        <v>128</v>
      </c>
      <c r="E17" s="14" t="s">
        <v>34</v>
      </c>
      <c r="F17" s="14" t="s">
        <v>129</v>
      </c>
      <c r="G17" s="14">
        <v>5100335936</v>
      </c>
      <c r="H17" s="14" t="s">
        <v>23</v>
      </c>
      <c r="I17" s="14" t="s">
        <v>130</v>
      </c>
      <c r="J17" s="14">
        <v>0</v>
      </c>
      <c r="K17" s="15">
        <v>128471</v>
      </c>
      <c r="L17" s="14" t="s">
        <v>131</v>
      </c>
      <c r="N17" s="16" t="str">
        <f>+H17&amp;" "&amp;E17</f>
        <v>Reduc Factura Compra PMP1276671</v>
      </c>
      <c r="O17" s="16" t="s">
        <v>132</v>
      </c>
    </row>
    <row r="18" spans="1:15" x14ac:dyDescent="0.3">
      <c r="A18" s="14">
        <v>609</v>
      </c>
      <c r="B18" s="14" t="s">
        <v>2</v>
      </c>
      <c r="C18" s="14">
        <v>860002518</v>
      </c>
      <c r="D18" s="14" t="s">
        <v>128</v>
      </c>
      <c r="E18" s="14" t="s">
        <v>32</v>
      </c>
      <c r="F18" s="14" t="s">
        <v>129</v>
      </c>
      <c r="G18" s="14">
        <v>5100337263</v>
      </c>
      <c r="H18" s="14" t="s">
        <v>23</v>
      </c>
      <c r="I18" s="14" t="s">
        <v>134</v>
      </c>
      <c r="J18" s="14">
        <v>0</v>
      </c>
      <c r="K18" s="15">
        <v>973783</v>
      </c>
      <c r="L18" s="14" t="s">
        <v>136</v>
      </c>
      <c r="M18" s="14" t="s">
        <v>149</v>
      </c>
      <c r="N18" s="16" t="str">
        <f>+H18&amp;" "&amp;E18</f>
        <v>Reduc Factura Compra PMP1277137</v>
      </c>
      <c r="O18" s="16" t="s">
        <v>132</v>
      </c>
    </row>
    <row r="19" spans="1:15" x14ac:dyDescent="0.3">
      <c r="A19" s="14">
        <v>610</v>
      </c>
      <c r="B19" s="14" t="s">
        <v>2</v>
      </c>
      <c r="C19" s="14">
        <v>860002518</v>
      </c>
      <c r="D19" s="14" t="s">
        <v>128</v>
      </c>
      <c r="E19" s="14" t="s">
        <v>30</v>
      </c>
      <c r="F19" s="14" t="s">
        <v>129</v>
      </c>
      <c r="G19" s="14">
        <v>5100337491</v>
      </c>
      <c r="H19" s="14" t="s">
        <v>71</v>
      </c>
      <c r="I19" s="14" t="s">
        <v>134</v>
      </c>
      <c r="J19" s="14">
        <v>0</v>
      </c>
      <c r="K19" s="15">
        <v>-21513304</v>
      </c>
      <c r="M19" s="14" t="s">
        <v>149</v>
      </c>
      <c r="N19" s="16" t="str">
        <f>+H19&amp;" "&amp; E19</f>
        <v>Factura Acrededor PMP1276991</v>
      </c>
      <c r="O19" s="16" t="s">
        <v>133</v>
      </c>
    </row>
    <row r="20" spans="1:15" x14ac:dyDescent="0.3">
      <c r="A20" s="14">
        <v>611</v>
      </c>
      <c r="B20" s="14" t="s">
        <v>2</v>
      </c>
      <c r="C20" s="14">
        <v>860002518</v>
      </c>
      <c r="D20" s="14" t="s">
        <v>128</v>
      </c>
      <c r="E20" s="14" t="s">
        <v>32</v>
      </c>
      <c r="F20" s="14" t="s">
        <v>129</v>
      </c>
      <c r="G20" s="14">
        <v>5100337262</v>
      </c>
      <c r="H20" s="14" t="s">
        <v>71</v>
      </c>
      <c r="I20" s="14" t="s">
        <v>134</v>
      </c>
      <c r="J20" s="14">
        <v>0</v>
      </c>
      <c r="K20" s="15">
        <v>-111539485</v>
      </c>
      <c r="L20" s="14" t="s">
        <v>136</v>
      </c>
      <c r="M20" s="14" t="s">
        <v>149</v>
      </c>
      <c r="N20" s="16" t="str">
        <f>+H20&amp;" "&amp; E20</f>
        <v>Factura Acrededor PMP1277137</v>
      </c>
      <c r="O20" s="16" t="s">
        <v>133</v>
      </c>
    </row>
    <row r="21" spans="1:15" x14ac:dyDescent="0.3">
      <c r="A21" s="14">
        <v>612</v>
      </c>
      <c r="B21" s="14" t="s">
        <v>2</v>
      </c>
      <c r="C21" s="14">
        <v>860002518</v>
      </c>
      <c r="D21" s="14" t="s">
        <v>128</v>
      </c>
      <c r="E21" s="14" t="s">
        <v>30</v>
      </c>
      <c r="F21" s="14" t="s">
        <v>129</v>
      </c>
      <c r="G21" s="14">
        <v>5100337492</v>
      </c>
      <c r="H21" s="14" t="s">
        <v>23</v>
      </c>
      <c r="I21" s="14" t="s">
        <v>134</v>
      </c>
      <c r="J21" s="14">
        <v>0</v>
      </c>
      <c r="K21" s="15">
        <v>375295</v>
      </c>
      <c r="M21" s="14" t="s">
        <v>149</v>
      </c>
      <c r="N21" s="16" t="str">
        <f>+H21&amp;" "&amp;E21</f>
        <v>Reduc Factura Compra PMP1276991</v>
      </c>
      <c r="O21" s="16" t="s">
        <v>132</v>
      </c>
    </row>
    <row r="22" spans="1:15" x14ac:dyDescent="0.3">
      <c r="A22" s="14">
        <v>636</v>
      </c>
      <c r="B22" s="14" t="s">
        <v>2</v>
      </c>
      <c r="C22" s="14">
        <v>860002518</v>
      </c>
      <c r="D22" s="14" t="s">
        <v>128</v>
      </c>
      <c r="E22" s="14" t="s">
        <v>63</v>
      </c>
      <c r="F22" s="14" t="s">
        <v>129</v>
      </c>
      <c r="G22" s="14">
        <v>1700028194</v>
      </c>
      <c r="H22" s="14" t="s">
        <v>58</v>
      </c>
      <c r="I22" s="14" t="s">
        <v>137</v>
      </c>
      <c r="J22" s="14">
        <v>0</v>
      </c>
      <c r="K22" s="15">
        <v>28813</v>
      </c>
      <c r="M22" s="14" t="s">
        <v>138</v>
      </c>
      <c r="N22" s="16" t="str">
        <f t="shared" ref="N22:N27" si="1">+M22</f>
        <v>NOTA DEVOLUCIÓN POR DEPURACIÓN INVENTARIO SEP 25</v>
      </c>
      <c r="O22" s="16" t="s">
        <v>132</v>
      </c>
    </row>
    <row r="23" spans="1:15" x14ac:dyDescent="0.3">
      <c r="A23" s="14">
        <v>638</v>
      </c>
      <c r="B23" s="14" t="s">
        <v>2</v>
      </c>
      <c r="C23" s="14">
        <v>860002518</v>
      </c>
      <c r="D23" s="14" t="s">
        <v>128</v>
      </c>
      <c r="E23" s="14" t="s">
        <v>63</v>
      </c>
      <c r="F23" s="14" t="s">
        <v>129</v>
      </c>
      <c r="G23" s="14">
        <v>1700027503</v>
      </c>
      <c r="H23" s="14" t="s">
        <v>58</v>
      </c>
      <c r="I23" s="14" t="s">
        <v>137</v>
      </c>
      <c r="J23" s="14">
        <v>0</v>
      </c>
      <c r="K23" s="15">
        <v>3659996</v>
      </c>
      <c r="L23" s="14" t="s">
        <v>141</v>
      </c>
      <c r="M23" s="14" t="s">
        <v>138</v>
      </c>
      <c r="N23" s="16" t="str">
        <f t="shared" si="1"/>
        <v>NOTA DEVOLUCIÓN POR DEPURACIÓN INVENTARIO SEP 25</v>
      </c>
      <c r="O23" s="16" t="s">
        <v>132</v>
      </c>
    </row>
    <row r="24" spans="1:15" x14ac:dyDescent="0.3">
      <c r="A24" s="14">
        <v>639</v>
      </c>
      <c r="B24" s="14" t="s">
        <v>2</v>
      </c>
      <c r="C24" s="14">
        <v>860002518</v>
      </c>
      <c r="D24" s="14" t="s">
        <v>128</v>
      </c>
      <c r="E24" s="14" t="s">
        <v>63</v>
      </c>
      <c r="F24" s="14" t="s">
        <v>129</v>
      </c>
      <c r="G24" s="14">
        <v>1700027697</v>
      </c>
      <c r="H24" s="14" t="s">
        <v>58</v>
      </c>
      <c r="I24" s="14" t="s">
        <v>137</v>
      </c>
      <c r="J24" s="14">
        <v>0</v>
      </c>
      <c r="K24" s="15">
        <v>1074320</v>
      </c>
      <c r="L24" s="14" t="s">
        <v>140</v>
      </c>
      <c r="M24" s="14" t="s">
        <v>138</v>
      </c>
      <c r="N24" s="16" t="str">
        <f t="shared" si="1"/>
        <v>NOTA DEVOLUCIÓN POR DEPURACIÓN INVENTARIO SEP 25</v>
      </c>
      <c r="O24" s="16" t="s">
        <v>132</v>
      </c>
    </row>
    <row r="25" spans="1:15" x14ac:dyDescent="0.3">
      <c r="A25" s="14">
        <v>640</v>
      </c>
      <c r="B25" s="14" t="s">
        <v>2</v>
      </c>
      <c r="C25" s="14">
        <v>860002518</v>
      </c>
      <c r="D25" s="14" t="s">
        <v>128</v>
      </c>
      <c r="E25" s="14" t="s">
        <v>63</v>
      </c>
      <c r="F25" s="14" t="s">
        <v>129</v>
      </c>
      <c r="G25" s="14">
        <v>1700027853</v>
      </c>
      <c r="H25" s="14" t="s">
        <v>58</v>
      </c>
      <c r="I25" s="14" t="s">
        <v>137</v>
      </c>
      <c r="J25" s="14">
        <v>0</v>
      </c>
      <c r="K25" s="15">
        <v>8010033</v>
      </c>
      <c r="L25" s="14" t="s">
        <v>136</v>
      </c>
      <c r="M25" s="14" t="s">
        <v>138</v>
      </c>
      <c r="N25" s="16" t="str">
        <f t="shared" si="1"/>
        <v>NOTA DEVOLUCIÓN POR DEPURACIÓN INVENTARIO SEP 25</v>
      </c>
      <c r="O25" s="16" t="s">
        <v>132</v>
      </c>
    </row>
    <row r="26" spans="1:15" x14ac:dyDescent="0.3">
      <c r="A26" s="14">
        <v>642</v>
      </c>
      <c r="B26" s="14" t="s">
        <v>2</v>
      </c>
      <c r="C26" s="14">
        <v>860002518</v>
      </c>
      <c r="D26" s="14" t="s">
        <v>128</v>
      </c>
      <c r="E26" s="14" t="s">
        <v>63</v>
      </c>
      <c r="F26" s="14" t="s">
        <v>129</v>
      </c>
      <c r="G26" s="14">
        <v>1700028003</v>
      </c>
      <c r="H26" s="14" t="s">
        <v>58</v>
      </c>
      <c r="I26" s="14" t="s">
        <v>137</v>
      </c>
      <c r="J26" s="14">
        <v>0</v>
      </c>
      <c r="K26" s="15">
        <v>209929</v>
      </c>
      <c r="L26" s="14" t="s">
        <v>139</v>
      </c>
      <c r="M26" s="14" t="s">
        <v>138</v>
      </c>
      <c r="N26" s="16" t="str">
        <f t="shared" si="1"/>
        <v>NOTA DEVOLUCIÓN POR DEPURACIÓN INVENTARIO SEP 25</v>
      </c>
      <c r="O26" s="16" t="s">
        <v>132</v>
      </c>
    </row>
    <row r="27" spans="1:15" x14ac:dyDescent="0.3">
      <c r="A27" s="14">
        <v>644</v>
      </c>
      <c r="B27" s="14" t="s">
        <v>2</v>
      </c>
      <c r="C27" s="14">
        <v>860002518</v>
      </c>
      <c r="D27" s="14" t="s">
        <v>128</v>
      </c>
      <c r="E27" s="14" t="s">
        <v>59</v>
      </c>
      <c r="F27" s="14" t="s">
        <v>129</v>
      </c>
      <c r="G27" s="14">
        <v>1700028340</v>
      </c>
      <c r="H27" s="14" t="s">
        <v>58</v>
      </c>
      <c r="I27" s="14" t="s">
        <v>142</v>
      </c>
      <c r="J27" s="14">
        <v>0</v>
      </c>
      <c r="K27" s="15">
        <v>97776</v>
      </c>
      <c r="L27" s="14" t="s">
        <v>136</v>
      </c>
      <c r="M27" s="14" t="s">
        <v>143</v>
      </c>
      <c r="N27" s="16" t="str">
        <f t="shared" si="1"/>
        <v>Dev.&gt;.a.30.dias.en.CEDI.8_Sep_</v>
      </c>
      <c r="O27" s="16" t="s">
        <v>144</v>
      </c>
    </row>
    <row r="28" spans="1:15" x14ac:dyDescent="0.3">
      <c r="A28" s="14">
        <v>950</v>
      </c>
      <c r="B28" s="14" t="s">
        <v>2</v>
      </c>
      <c r="C28" s="14">
        <v>860002518</v>
      </c>
      <c r="D28" s="14" t="s">
        <v>128</v>
      </c>
      <c r="E28" s="14" t="s">
        <v>150</v>
      </c>
      <c r="F28" s="14" t="s">
        <v>129</v>
      </c>
      <c r="G28" s="14">
        <v>5100315882</v>
      </c>
      <c r="H28" s="14" t="s">
        <v>71</v>
      </c>
      <c r="I28" s="14" t="s">
        <v>151</v>
      </c>
      <c r="J28" s="14">
        <v>0</v>
      </c>
      <c r="K28" s="15">
        <v>-27974992</v>
      </c>
      <c r="M28" s="14" t="s">
        <v>152</v>
      </c>
      <c r="N28" s="16" t="str">
        <f>+H28&amp;" "&amp; E28</f>
        <v>Factura Acrededor PMP-1273112</v>
      </c>
      <c r="O28" s="16" t="s">
        <v>133</v>
      </c>
    </row>
    <row r="29" spans="1:15" x14ac:dyDescent="0.3">
      <c r="A29" s="14">
        <v>951</v>
      </c>
      <c r="B29" s="14" t="s">
        <v>2</v>
      </c>
      <c r="C29" s="14">
        <v>860002518</v>
      </c>
      <c r="D29" s="14" t="s">
        <v>128</v>
      </c>
      <c r="E29" s="14" t="s">
        <v>89</v>
      </c>
      <c r="F29" s="14" t="s">
        <v>129</v>
      </c>
      <c r="G29" s="14">
        <v>5100317247</v>
      </c>
      <c r="H29" s="14" t="s">
        <v>71</v>
      </c>
      <c r="I29" s="14" t="s">
        <v>153</v>
      </c>
      <c r="J29" s="14">
        <v>0</v>
      </c>
      <c r="K29" s="15">
        <v>-28749643</v>
      </c>
      <c r="L29" s="14" t="s">
        <v>140</v>
      </c>
      <c r="M29" s="14" t="s">
        <v>128</v>
      </c>
      <c r="N29" s="16" t="str">
        <f>+H29&amp;" "&amp; E29</f>
        <v>Factura Acrededor PMP1273596</v>
      </c>
      <c r="O29" s="16" t="s">
        <v>133</v>
      </c>
    </row>
    <row r="30" spans="1:15" x14ac:dyDescent="0.3">
      <c r="A30" s="14">
        <v>952</v>
      </c>
      <c r="B30" s="14" t="s">
        <v>2</v>
      </c>
      <c r="C30" s="14">
        <v>860002518</v>
      </c>
      <c r="D30" s="14" t="s">
        <v>128</v>
      </c>
      <c r="E30" s="14" t="s">
        <v>38</v>
      </c>
      <c r="F30" s="14" t="s">
        <v>129</v>
      </c>
      <c r="G30" s="14">
        <v>5100315883</v>
      </c>
      <c r="H30" s="14" t="s">
        <v>23</v>
      </c>
      <c r="I30" s="14" t="s">
        <v>151</v>
      </c>
      <c r="J30" s="14">
        <v>0</v>
      </c>
      <c r="K30" s="15">
        <v>98733</v>
      </c>
      <c r="M30" s="14" t="s">
        <v>152</v>
      </c>
      <c r="N30" s="16" t="str">
        <f>+H30&amp;" "&amp;E30</f>
        <v>Reduc Factura Compra PMP1273112</v>
      </c>
      <c r="O30" s="16" t="s">
        <v>132</v>
      </c>
    </row>
    <row r="31" spans="1:15" x14ac:dyDescent="0.3">
      <c r="A31" s="14">
        <v>954</v>
      </c>
      <c r="B31" s="14" t="s">
        <v>2</v>
      </c>
      <c r="C31" s="14">
        <v>860002518</v>
      </c>
      <c r="D31" s="14" t="s">
        <v>128</v>
      </c>
      <c r="E31" s="14" t="s">
        <v>103</v>
      </c>
      <c r="F31" s="14" t="s">
        <v>129</v>
      </c>
      <c r="G31" s="14">
        <v>5100318608</v>
      </c>
      <c r="H31" s="14" t="s">
        <v>71</v>
      </c>
      <c r="I31" s="14" t="s">
        <v>153</v>
      </c>
      <c r="J31" s="14">
        <v>0</v>
      </c>
      <c r="K31" s="15">
        <v>-11408205</v>
      </c>
      <c r="L31" s="14" t="s">
        <v>131</v>
      </c>
      <c r="N31" s="16" t="str">
        <f>+H31&amp;" "&amp; E31</f>
        <v>Factura Acrededor PMP1273863</v>
      </c>
      <c r="O31" s="16" t="s">
        <v>133</v>
      </c>
    </row>
    <row r="32" spans="1:15" x14ac:dyDescent="0.3">
      <c r="A32" s="14">
        <v>955</v>
      </c>
      <c r="B32" s="14" t="s">
        <v>2</v>
      </c>
      <c r="C32" s="14">
        <v>860002518</v>
      </c>
      <c r="D32" s="14" t="s">
        <v>128</v>
      </c>
      <c r="E32" s="14" t="s">
        <v>50</v>
      </c>
      <c r="F32" s="14" t="s">
        <v>129</v>
      </c>
      <c r="G32" s="14">
        <v>5100318343</v>
      </c>
      <c r="H32" s="14" t="s">
        <v>23</v>
      </c>
      <c r="I32" s="14" t="s">
        <v>153</v>
      </c>
      <c r="J32" s="14">
        <v>0</v>
      </c>
      <c r="K32" s="15">
        <v>1267188</v>
      </c>
      <c r="L32" s="14" t="s">
        <v>136</v>
      </c>
      <c r="M32" s="14" t="s">
        <v>152</v>
      </c>
      <c r="N32" s="16" t="str">
        <f>+H32&amp;" "&amp;E32</f>
        <v>Reduc Factura Compra PMP1273878</v>
      </c>
      <c r="O32" s="16" t="s">
        <v>132</v>
      </c>
    </row>
    <row r="33" spans="1:15" x14ac:dyDescent="0.3">
      <c r="A33" s="14">
        <v>956</v>
      </c>
      <c r="B33" s="14" t="s">
        <v>2</v>
      </c>
      <c r="C33" s="14">
        <v>860002518</v>
      </c>
      <c r="D33" s="14" t="s">
        <v>128</v>
      </c>
      <c r="E33" s="14" t="s">
        <v>50</v>
      </c>
      <c r="F33" s="14" t="s">
        <v>129</v>
      </c>
      <c r="G33" s="14">
        <v>5100318342</v>
      </c>
      <c r="H33" s="14" t="s">
        <v>71</v>
      </c>
      <c r="I33" s="14" t="s">
        <v>153</v>
      </c>
      <c r="J33" s="14">
        <v>0</v>
      </c>
      <c r="K33" s="15">
        <v>-154734955</v>
      </c>
      <c r="L33" s="14" t="s">
        <v>136</v>
      </c>
      <c r="M33" s="14" t="s">
        <v>152</v>
      </c>
      <c r="N33" s="16" t="str">
        <f>+H33&amp;" "&amp; E33</f>
        <v>Factura Acrededor PMP1273878</v>
      </c>
      <c r="O33" s="16" t="s">
        <v>133</v>
      </c>
    </row>
    <row r="34" spans="1:15" x14ac:dyDescent="0.3">
      <c r="A34" s="14">
        <v>1005</v>
      </c>
      <c r="B34" s="14" t="s">
        <v>2</v>
      </c>
      <c r="C34" s="14">
        <v>860002518</v>
      </c>
      <c r="D34" s="14" t="s">
        <v>128</v>
      </c>
      <c r="E34" s="14">
        <v>5009108214</v>
      </c>
      <c r="F34" s="14" t="s">
        <v>129</v>
      </c>
      <c r="G34" s="14">
        <v>5100358331</v>
      </c>
      <c r="H34" s="14" t="s">
        <v>105</v>
      </c>
      <c r="I34" s="14" t="s">
        <v>154</v>
      </c>
      <c r="J34" s="14">
        <v>0</v>
      </c>
      <c r="K34" s="15">
        <v>2743</v>
      </c>
      <c r="L34" s="14" t="s">
        <v>131</v>
      </c>
      <c r="N34" s="16" t="str">
        <f>_xlfn.CONCAT(H34 &amp;" "&amp; E34)</f>
        <v>Devolucion 5009108214</v>
      </c>
      <c r="O34" s="16" t="s">
        <v>155</v>
      </c>
    </row>
    <row r="35" spans="1:15" x14ac:dyDescent="0.3">
      <c r="A35" s="14">
        <v>1006</v>
      </c>
      <c r="B35" s="14" t="s">
        <v>2</v>
      </c>
      <c r="C35" s="14">
        <v>860002518</v>
      </c>
      <c r="D35" s="14" t="s">
        <v>128</v>
      </c>
      <c r="E35" s="14">
        <v>5009109080</v>
      </c>
      <c r="F35" s="14" t="s">
        <v>129</v>
      </c>
      <c r="G35" s="14">
        <v>5100358759</v>
      </c>
      <c r="H35" s="14" t="s">
        <v>105</v>
      </c>
      <c r="I35" s="14" t="s">
        <v>154</v>
      </c>
      <c r="J35" s="14">
        <v>0</v>
      </c>
      <c r="K35" s="15">
        <v>13069</v>
      </c>
      <c r="L35" s="14" t="s">
        <v>131</v>
      </c>
      <c r="N35" s="16" t="str">
        <f>_xlfn.CONCAT(H35 &amp;" "&amp; E35)</f>
        <v>Devolucion 5009109080</v>
      </c>
      <c r="O35" s="16" t="s">
        <v>155</v>
      </c>
    </row>
    <row r="36" spans="1:15" x14ac:dyDescent="0.3">
      <c r="A36" s="14">
        <v>1007</v>
      </c>
      <c r="B36" s="14" t="s">
        <v>2</v>
      </c>
      <c r="C36" s="14">
        <v>860002518</v>
      </c>
      <c r="D36" s="14" t="s">
        <v>128</v>
      </c>
      <c r="E36" s="14">
        <v>5009114474</v>
      </c>
      <c r="F36" s="14" t="s">
        <v>129</v>
      </c>
      <c r="G36" s="14">
        <v>5100360110</v>
      </c>
      <c r="H36" s="14" t="s">
        <v>105</v>
      </c>
      <c r="I36" s="14" t="s">
        <v>145</v>
      </c>
      <c r="J36" s="14">
        <v>0</v>
      </c>
      <c r="K36" s="15">
        <v>5876</v>
      </c>
      <c r="L36" s="14" t="s">
        <v>131</v>
      </c>
      <c r="N36" s="16" t="str">
        <f>_xlfn.CONCAT(H36 &amp;" "&amp; E36)</f>
        <v>Devolucion 5009114474</v>
      </c>
      <c r="O36" s="16" t="s">
        <v>155</v>
      </c>
    </row>
    <row r="37" spans="1:15" x14ac:dyDescent="0.3">
      <c r="A37" s="14">
        <v>1303</v>
      </c>
      <c r="B37" s="14" t="s">
        <v>2</v>
      </c>
      <c r="C37" s="14">
        <v>860002518</v>
      </c>
      <c r="D37" s="14" t="s">
        <v>128</v>
      </c>
      <c r="E37" s="14" t="s">
        <v>99</v>
      </c>
      <c r="F37" s="14" t="s">
        <v>129</v>
      </c>
      <c r="G37" s="14">
        <v>5100335924</v>
      </c>
      <c r="H37" s="14" t="s">
        <v>71</v>
      </c>
      <c r="I37" s="14" t="s">
        <v>130</v>
      </c>
      <c r="J37" s="14">
        <v>0</v>
      </c>
      <c r="K37" s="15">
        <v>-18919275</v>
      </c>
      <c r="L37" s="14" t="s">
        <v>131</v>
      </c>
      <c r="N37" s="16" t="str">
        <f>+H37&amp;" "&amp; E37</f>
        <v>Factura Acrededor PMP1276669</v>
      </c>
      <c r="O37" s="16" t="s">
        <v>133</v>
      </c>
    </row>
    <row r="38" spans="1:15" x14ac:dyDescent="0.3">
      <c r="A38" s="14">
        <v>1305</v>
      </c>
      <c r="B38" s="14" t="s">
        <v>2</v>
      </c>
      <c r="C38" s="14">
        <v>860002518</v>
      </c>
      <c r="D38" s="14" t="s">
        <v>128</v>
      </c>
      <c r="E38" s="14" t="s">
        <v>97</v>
      </c>
      <c r="F38" s="14" t="s">
        <v>129</v>
      </c>
      <c r="G38" s="14">
        <v>5100337140</v>
      </c>
      <c r="H38" s="14" t="s">
        <v>71</v>
      </c>
      <c r="I38" s="14" t="s">
        <v>134</v>
      </c>
      <c r="J38" s="14">
        <v>0</v>
      </c>
      <c r="K38" s="15">
        <v>-25908600</v>
      </c>
      <c r="L38" s="14" t="s">
        <v>136</v>
      </c>
      <c r="M38" s="14" t="s">
        <v>128</v>
      </c>
      <c r="N38" s="16" t="str">
        <f>+H38&amp;" "&amp; E38</f>
        <v>Factura Acrededor PMP1277138</v>
      </c>
      <c r="O38" s="16" t="s">
        <v>133</v>
      </c>
    </row>
    <row r="39" spans="1:15" x14ac:dyDescent="0.3">
      <c r="A39" s="14">
        <v>1306</v>
      </c>
      <c r="B39" s="14" t="s">
        <v>2</v>
      </c>
      <c r="C39" s="14">
        <v>860002518</v>
      </c>
      <c r="D39" s="14" t="s">
        <v>128</v>
      </c>
      <c r="E39" s="14" t="s">
        <v>95</v>
      </c>
      <c r="F39" s="14" t="s">
        <v>129</v>
      </c>
      <c r="G39" s="14">
        <v>5100337104</v>
      </c>
      <c r="H39" s="14" t="s">
        <v>71</v>
      </c>
      <c r="I39" s="14" t="s">
        <v>134</v>
      </c>
      <c r="J39" s="14">
        <v>0</v>
      </c>
      <c r="K39" s="15">
        <v>-24310076</v>
      </c>
      <c r="M39" s="14" t="s">
        <v>128</v>
      </c>
      <c r="N39" s="16" t="str">
        <f>+H39&amp;" "&amp; E39</f>
        <v>Factura Acrededor PMP1276993</v>
      </c>
      <c r="O39" s="16" t="s">
        <v>133</v>
      </c>
    </row>
    <row r="40" spans="1:15" x14ac:dyDescent="0.3">
      <c r="A40" s="14">
        <v>1329</v>
      </c>
      <c r="B40" s="14" t="s">
        <v>2</v>
      </c>
      <c r="C40" s="14">
        <v>860002518</v>
      </c>
      <c r="D40" s="14" t="s">
        <v>128</v>
      </c>
      <c r="E40" s="14" t="s">
        <v>63</v>
      </c>
      <c r="F40" s="14" t="s">
        <v>129</v>
      </c>
      <c r="G40" s="14">
        <v>1700027505</v>
      </c>
      <c r="H40" s="14" t="s">
        <v>58</v>
      </c>
      <c r="I40" s="14" t="s">
        <v>137</v>
      </c>
      <c r="J40" s="14">
        <v>0</v>
      </c>
      <c r="K40" s="15">
        <v>52023765</v>
      </c>
      <c r="L40" s="14" t="s">
        <v>141</v>
      </c>
      <c r="M40" s="14" t="s">
        <v>138</v>
      </c>
      <c r="N40" s="16" t="str">
        <f t="shared" ref="N40:N45" si="2">+M40</f>
        <v>NOTA DEVOLUCIÓN POR DEPURACIÓN INVENTARIO SEP 25</v>
      </c>
      <c r="O40" s="16" t="s">
        <v>132</v>
      </c>
    </row>
    <row r="41" spans="1:15" x14ac:dyDescent="0.3">
      <c r="A41" s="14">
        <v>1332</v>
      </c>
      <c r="B41" s="14" t="s">
        <v>2</v>
      </c>
      <c r="C41" s="14">
        <v>860002518</v>
      </c>
      <c r="D41" s="14" t="s">
        <v>128</v>
      </c>
      <c r="E41" s="14" t="s">
        <v>63</v>
      </c>
      <c r="F41" s="14" t="s">
        <v>129</v>
      </c>
      <c r="G41" s="14">
        <v>1700027317</v>
      </c>
      <c r="H41" s="14" t="s">
        <v>58</v>
      </c>
      <c r="I41" s="14" t="s">
        <v>137</v>
      </c>
      <c r="J41" s="14">
        <v>0</v>
      </c>
      <c r="K41" s="15">
        <v>9458910</v>
      </c>
      <c r="L41" s="14" t="s">
        <v>131</v>
      </c>
      <c r="M41" s="14" t="s">
        <v>138</v>
      </c>
      <c r="N41" s="16" t="str">
        <f t="shared" si="2"/>
        <v>NOTA DEVOLUCIÓN POR DEPURACIÓN INVENTARIO SEP 25</v>
      </c>
      <c r="O41" s="16" t="s">
        <v>132</v>
      </c>
    </row>
    <row r="42" spans="1:15" x14ac:dyDescent="0.3">
      <c r="A42" s="14">
        <v>1335</v>
      </c>
      <c r="B42" s="14" t="s">
        <v>2</v>
      </c>
      <c r="C42" s="14">
        <v>860002518</v>
      </c>
      <c r="D42" s="14" t="s">
        <v>128</v>
      </c>
      <c r="E42" s="14" t="s">
        <v>63</v>
      </c>
      <c r="F42" s="14" t="s">
        <v>129</v>
      </c>
      <c r="G42" s="14">
        <v>1700027699</v>
      </c>
      <c r="H42" s="14" t="s">
        <v>58</v>
      </c>
      <c r="I42" s="14" t="s">
        <v>137</v>
      </c>
      <c r="J42" s="14">
        <v>0</v>
      </c>
      <c r="K42" s="15">
        <v>5923198</v>
      </c>
      <c r="L42" s="14" t="s">
        <v>140</v>
      </c>
      <c r="M42" s="14" t="s">
        <v>138</v>
      </c>
      <c r="N42" s="16" t="str">
        <f t="shared" si="2"/>
        <v>NOTA DEVOLUCIÓN POR DEPURACIÓN INVENTARIO SEP 25</v>
      </c>
      <c r="O42" s="16" t="s">
        <v>132</v>
      </c>
    </row>
    <row r="43" spans="1:15" x14ac:dyDescent="0.3">
      <c r="A43" s="14">
        <v>1336</v>
      </c>
      <c r="B43" s="14" t="s">
        <v>2</v>
      </c>
      <c r="C43" s="14">
        <v>860002518</v>
      </c>
      <c r="D43" s="14" t="s">
        <v>128</v>
      </c>
      <c r="E43" s="14" t="s">
        <v>63</v>
      </c>
      <c r="F43" s="14" t="s">
        <v>129</v>
      </c>
      <c r="G43" s="14">
        <v>1700028005</v>
      </c>
      <c r="H43" s="14" t="s">
        <v>58</v>
      </c>
      <c r="I43" s="14" t="s">
        <v>137</v>
      </c>
      <c r="J43" s="14">
        <v>0</v>
      </c>
      <c r="K43" s="15">
        <v>6652327</v>
      </c>
      <c r="L43" s="14" t="s">
        <v>139</v>
      </c>
      <c r="M43" s="14" t="s">
        <v>138</v>
      </c>
      <c r="N43" s="16" t="str">
        <f t="shared" si="2"/>
        <v>NOTA DEVOLUCIÓN POR DEPURACIÓN INVENTARIO SEP 25</v>
      </c>
      <c r="O43" s="16" t="s">
        <v>132</v>
      </c>
    </row>
    <row r="44" spans="1:15" x14ac:dyDescent="0.3">
      <c r="A44" s="14">
        <v>1337</v>
      </c>
      <c r="B44" s="14" t="s">
        <v>2</v>
      </c>
      <c r="C44" s="14">
        <v>860002518</v>
      </c>
      <c r="D44" s="14" t="s">
        <v>128</v>
      </c>
      <c r="E44" s="14" t="s">
        <v>63</v>
      </c>
      <c r="F44" s="14" t="s">
        <v>129</v>
      </c>
      <c r="G44" s="14">
        <v>1700028196</v>
      </c>
      <c r="H44" s="14" t="s">
        <v>58</v>
      </c>
      <c r="I44" s="14" t="s">
        <v>137</v>
      </c>
      <c r="J44" s="14">
        <v>0</v>
      </c>
      <c r="K44" s="15">
        <v>14421092</v>
      </c>
      <c r="M44" s="14" t="s">
        <v>138</v>
      </c>
      <c r="N44" s="16" t="str">
        <f t="shared" si="2"/>
        <v>NOTA DEVOLUCIÓN POR DEPURACIÓN INVENTARIO SEP 25</v>
      </c>
      <c r="O44" s="16" t="s">
        <v>132</v>
      </c>
    </row>
    <row r="45" spans="1:15" x14ac:dyDescent="0.3">
      <c r="A45" s="14">
        <v>1339</v>
      </c>
      <c r="B45" s="14" t="s">
        <v>2</v>
      </c>
      <c r="C45" s="14">
        <v>860002518</v>
      </c>
      <c r="D45" s="14" t="s">
        <v>128</v>
      </c>
      <c r="E45" s="14" t="s">
        <v>59</v>
      </c>
      <c r="F45" s="14" t="s">
        <v>129</v>
      </c>
      <c r="G45" s="14">
        <v>1700028336</v>
      </c>
      <c r="H45" s="14" t="s">
        <v>58</v>
      </c>
      <c r="I45" s="14" t="s">
        <v>142</v>
      </c>
      <c r="J45" s="14">
        <v>0</v>
      </c>
      <c r="K45" s="15">
        <v>1059035</v>
      </c>
      <c r="L45" s="14" t="s">
        <v>136</v>
      </c>
      <c r="M45" s="14" t="s">
        <v>143</v>
      </c>
      <c r="N45" s="16" t="str">
        <f t="shared" si="2"/>
        <v>Dev.&gt;.a.30.dias.en.CEDI.8_Sep_</v>
      </c>
      <c r="O45" s="16" t="s">
        <v>144</v>
      </c>
    </row>
    <row r="46" spans="1:15" x14ac:dyDescent="0.3">
      <c r="A46" s="14">
        <v>1719</v>
      </c>
      <c r="B46" s="14" t="s">
        <v>2</v>
      </c>
      <c r="C46" s="14">
        <v>860002518</v>
      </c>
      <c r="D46" s="14" t="s">
        <v>128</v>
      </c>
      <c r="E46" s="14" t="s">
        <v>36</v>
      </c>
      <c r="F46" s="14" t="s">
        <v>129</v>
      </c>
      <c r="G46" s="14">
        <v>5100335919</v>
      </c>
      <c r="H46" s="14" t="s">
        <v>71</v>
      </c>
      <c r="I46" s="14" t="s">
        <v>130</v>
      </c>
      <c r="J46" s="14">
        <v>0</v>
      </c>
      <c r="K46" s="15">
        <v>-64246828</v>
      </c>
      <c r="L46" s="14" t="s">
        <v>131</v>
      </c>
      <c r="N46" s="16" t="str">
        <f>+H46&amp;" "&amp; E46</f>
        <v>Factura Acrededor PMP1276666</v>
      </c>
      <c r="O46" s="16" t="s">
        <v>133</v>
      </c>
    </row>
    <row r="47" spans="1:15" x14ac:dyDescent="0.3">
      <c r="A47" s="14">
        <v>1720</v>
      </c>
      <c r="B47" s="14" t="s">
        <v>2</v>
      </c>
      <c r="C47" s="14">
        <v>860002518</v>
      </c>
      <c r="D47" s="14" t="s">
        <v>128</v>
      </c>
      <c r="E47" s="14" t="s">
        <v>36</v>
      </c>
      <c r="F47" s="14" t="s">
        <v>129</v>
      </c>
      <c r="G47" s="14">
        <v>5100335920</v>
      </c>
      <c r="H47" s="14" t="s">
        <v>23</v>
      </c>
      <c r="I47" s="14" t="s">
        <v>130</v>
      </c>
      <c r="J47" s="14">
        <v>0</v>
      </c>
      <c r="K47" s="15">
        <v>116211</v>
      </c>
      <c r="L47" s="14" t="s">
        <v>131</v>
      </c>
      <c r="N47" s="16" t="str">
        <f>+H47&amp;" "&amp;E47</f>
        <v>Reduc Factura Compra PMP1276666</v>
      </c>
      <c r="O47" s="16" t="s">
        <v>132</v>
      </c>
    </row>
    <row r="48" spans="1:15" x14ac:dyDescent="0.3">
      <c r="A48" s="14">
        <v>1721</v>
      </c>
      <c r="B48" s="14" t="s">
        <v>2</v>
      </c>
      <c r="C48" s="14">
        <v>860002518</v>
      </c>
      <c r="D48" s="14" t="s">
        <v>128</v>
      </c>
      <c r="E48" s="14" t="s">
        <v>84</v>
      </c>
      <c r="F48" s="14" t="s">
        <v>129</v>
      </c>
      <c r="G48" s="14">
        <v>5100335922</v>
      </c>
      <c r="H48" s="14" t="s">
        <v>71</v>
      </c>
      <c r="I48" s="14" t="s">
        <v>130</v>
      </c>
      <c r="J48" s="14">
        <v>0</v>
      </c>
      <c r="K48" s="15">
        <v>-223440</v>
      </c>
      <c r="L48" s="14" t="s">
        <v>131</v>
      </c>
      <c r="N48" s="16" t="str">
        <f>+H48&amp;" "&amp; E48</f>
        <v>Factura Acrededor PMP1276672</v>
      </c>
      <c r="O48" s="16" t="s">
        <v>133</v>
      </c>
    </row>
    <row r="49" spans="1:15" x14ac:dyDescent="0.3">
      <c r="A49" s="14">
        <v>1722</v>
      </c>
      <c r="B49" s="14" t="s">
        <v>2</v>
      </c>
      <c r="C49" s="14">
        <v>860002518</v>
      </c>
      <c r="D49" s="14" t="s">
        <v>128</v>
      </c>
      <c r="E49" s="14" t="s">
        <v>87</v>
      </c>
      <c r="F49" s="14" t="s">
        <v>129</v>
      </c>
      <c r="G49" s="14">
        <v>5100335926</v>
      </c>
      <c r="H49" s="14" t="s">
        <v>71</v>
      </c>
      <c r="I49" s="14" t="s">
        <v>130</v>
      </c>
      <c r="J49" s="14">
        <v>0</v>
      </c>
      <c r="K49" s="15">
        <v>-2457840</v>
      </c>
      <c r="L49" s="14" t="s">
        <v>131</v>
      </c>
      <c r="N49" s="16" t="str">
        <f>+H49&amp;" "&amp; E49</f>
        <v>Factura Acrededor PMP1276673</v>
      </c>
      <c r="O49" s="16" t="s">
        <v>133</v>
      </c>
    </row>
    <row r="50" spans="1:15" x14ac:dyDescent="0.3">
      <c r="A50" s="14">
        <v>1723</v>
      </c>
      <c r="B50" s="14" t="s">
        <v>2</v>
      </c>
      <c r="C50" s="14">
        <v>860002518</v>
      </c>
      <c r="D50" s="14" t="s">
        <v>128</v>
      </c>
      <c r="E50" s="14" t="s">
        <v>44</v>
      </c>
      <c r="F50" s="14" t="s">
        <v>129</v>
      </c>
      <c r="G50" s="14">
        <v>5100335951</v>
      </c>
      <c r="H50" s="14" t="s">
        <v>71</v>
      </c>
      <c r="I50" s="14" t="s">
        <v>130</v>
      </c>
      <c r="J50" s="14">
        <v>0</v>
      </c>
      <c r="K50" s="15">
        <v>-65729254</v>
      </c>
      <c r="L50" s="14" t="s">
        <v>131</v>
      </c>
      <c r="N50" s="16" t="str">
        <f>+H50&amp;" "&amp; E50</f>
        <v>Factura Acrededor PMP1276668</v>
      </c>
      <c r="O50" s="16" t="s">
        <v>133</v>
      </c>
    </row>
    <row r="51" spans="1:15" x14ac:dyDescent="0.3">
      <c r="A51" s="14">
        <v>1724</v>
      </c>
      <c r="B51" s="14" t="s">
        <v>2</v>
      </c>
      <c r="C51" s="14">
        <v>860002518</v>
      </c>
      <c r="D51" s="14" t="s">
        <v>128</v>
      </c>
      <c r="E51" s="14" t="s">
        <v>44</v>
      </c>
      <c r="F51" s="14" t="s">
        <v>129</v>
      </c>
      <c r="G51" s="14">
        <v>5100335952</v>
      </c>
      <c r="H51" s="14" t="s">
        <v>23</v>
      </c>
      <c r="I51" s="14" t="s">
        <v>130</v>
      </c>
      <c r="J51" s="14">
        <v>0</v>
      </c>
      <c r="K51" s="15">
        <v>338713</v>
      </c>
      <c r="L51" s="14" t="s">
        <v>131</v>
      </c>
      <c r="N51" s="16" t="str">
        <f>+H51&amp;" "&amp;E51</f>
        <v>Reduc Factura Compra PMP1276668</v>
      </c>
      <c r="O51" s="16" t="s">
        <v>132</v>
      </c>
    </row>
    <row r="52" spans="1:15" x14ac:dyDescent="0.3">
      <c r="A52" s="14">
        <v>1726</v>
      </c>
      <c r="B52" s="14" t="s">
        <v>2</v>
      </c>
      <c r="C52" s="14">
        <v>860002518</v>
      </c>
      <c r="D52" s="14" t="s">
        <v>128</v>
      </c>
      <c r="E52" s="14" t="s">
        <v>82</v>
      </c>
      <c r="F52" s="14" t="s">
        <v>129</v>
      </c>
      <c r="G52" s="14">
        <v>5100337144</v>
      </c>
      <c r="H52" s="14" t="s">
        <v>71</v>
      </c>
      <c r="I52" s="14" t="s">
        <v>134</v>
      </c>
      <c r="J52" s="14">
        <v>0</v>
      </c>
      <c r="K52" s="15">
        <v>-11842275</v>
      </c>
      <c r="L52" s="14" t="s">
        <v>136</v>
      </c>
      <c r="M52" s="14" t="s">
        <v>128</v>
      </c>
      <c r="N52" s="16" t="str">
        <f>+H52&amp;" "&amp; E52</f>
        <v>Factura Acrededor PMP1277145</v>
      </c>
      <c r="O52" s="16" t="s">
        <v>133</v>
      </c>
    </row>
    <row r="53" spans="1:15" x14ac:dyDescent="0.3">
      <c r="A53" s="14">
        <v>1727</v>
      </c>
      <c r="B53" s="14" t="s">
        <v>2</v>
      </c>
      <c r="C53" s="14">
        <v>860002518</v>
      </c>
      <c r="D53" s="14" t="s">
        <v>128</v>
      </c>
      <c r="E53" s="14" t="s">
        <v>73</v>
      </c>
      <c r="F53" s="14" t="s">
        <v>129</v>
      </c>
      <c r="G53" s="14">
        <v>5100337147</v>
      </c>
      <c r="H53" s="14" t="s">
        <v>71</v>
      </c>
      <c r="I53" s="14" t="s">
        <v>134</v>
      </c>
      <c r="J53" s="14">
        <v>0</v>
      </c>
      <c r="K53" s="15">
        <v>-19509586</v>
      </c>
      <c r="L53" s="14" t="s">
        <v>136</v>
      </c>
      <c r="M53" s="14" t="s">
        <v>128</v>
      </c>
      <c r="N53" s="16" t="str">
        <f>+H53&amp;" "&amp; E53</f>
        <v>Factura Acrededor PMP1277144</v>
      </c>
      <c r="O53" s="16" t="s">
        <v>133</v>
      </c>
    </row>
    <row r="54" spans="1:15" x14ac:dyDescent="0.3">
      <c r="A54" s="14">
        <v>1728</v>
      </c>
      <c r="B54" s="14" t="s">
        <v>2</v>
      </c>
      <c r="C54" s="14">
        <v>860002518</v>
      </c>
      <c r="D54" s="14" t="s">
        <v>128</v>
      </c>
      <c r="E54" s="14" t="s">
        <v>40</v>
      </c>
      <c r="F54" s="14" t="s">
        <v>129</v>
      </c>
      <c r="G54" s="14">
        <v>5100337390</v>
      </c>
      <c r="H54" s="14" t="s">
        <v>23</v>
      </c>
      <c r="I54" s="14" t="s">
        <v>134</v>
      </c>
      <c r="J54" s="14">
        <v>0</v>
      </c>
      <c r="K54" s="15">
        <v>538091</v>
      </c>
      <c r="M54" s="14" t="s">
        <v>156</v>
      </c>
      <c r="N54" s="16" t="str">
        <f>+H54&amp;" "&amp;E54</f>
        <v>Reduc Factura Compra PMP1276990</v>
      </c>
      <c r="O54" s="16" t="s">
        <v>132</v>
      </c>
    </row>
    <row r="55" spans="1:15" x14ac:dyDescent="0.3">
      <c r="A55" s="14">
        <v>1729</v>
      </c>
      <c r="B55" s="14" t="s">
        <v>2</v>
      </c>
      <c r="C55" s="14">
        <v>860002518</v>
      </c>
      <c r="D55" s="14" t="s">
        <v>128</v>
      </c>
      <c r="E55" s="14" t="s">
        <v>40</v>
      </c>
      <c r="F55" s="14" t="s">
        <v>129</v>
      </c>
      <c r="G55" s="14">
        <v>5100337389</v>
      </c>
      <c r="H55" s="14" t="s">
        <v>71</v>
      </c>
      <c r="I55" s="14" t="s">
        <v>134</v>
      </c>
      <c r="J55" s="14">
        <v>0</v>
      </c>
      <c r="K55" s="15">
        <v>-91703429</v>
      </c>
      <c r="M55" s="14" t="s">
        <v>156</v>
      </c>
      <c r="N55" s="16" t="str">
        <f>+H55&amp;" "&amp; E55</f>
        <v>Factura Acrededor PMP1276990</v>
      </c>
      <c r="O55" s="16" t="s">
        <v>133</v>
      </c>
    </row>
    <row r="56" spans="1:15" x14ac:dyDescent="0.3">
      <c r="A56" s="14">
        <v>1730</v>
      </c>
      <c r="B56" s="14" t="s">
        <v>2</v>
      </c>
      <c r="C56" s="14">
        <v>860002518</v>
      </c>
      <c r="D56" s="14" t="s">
        <v>128</v>
      </c>
      <c r="E56" s="14" t="s">
        <v>42</v>
      </c>
      <c r="F56" s="14" t="s">
        <v>129</v>
      </c>
      <c r="G56" s="14">
        <v>5100337687</v>
      </c>
      <c r="H56" s="14" t="s">
        <v>71</v>
      </c>
      <c r="I56" s="14" t="s">
        <v>134</v>
      </c>
      <c r="J56" s="14">
        <v>0</v>
      </c>
      <c r="K56" s="15">
        <v>-357532623</v>
      </c>
      <c r="L56" s="14" t="s">
        <v>136</v>
      </c>
      <c r="M56" s="14" t="s">
        <v>152</v>
      </c>
      <c r="N56" s="16" t="str">
        <f>+H56&amp;" "&amp; E56</f>
        <v>Factura Acrededor PMP1277143</v>
      </c>
      <c r="O56" s="16" t="s">
        <v>133</v>
      </c>
    </row>
    <row r="57" spans="1:15" x14ac:dyDescent="0.3">
      <c r="A57" s="14">
        <v>1731</v>
      </c>
      <c r="B57" s="14" t="s">
        <v>2</v>
      </c>
      <c r="C57" s="14">
        <v>860002518</v>
      </c>
      <c r="D57" s="14" t="s">
        <v>128</v>
      </c>
      <c r="E57" s="14" t="s">
        <v>42</v>
      </c>
      <c r="F57" s="14" t="s">
        <v>129</v>
      </c>
      <c r="G57" s="14">
        <v>5100337688</v>
      </c>
      <c r="H57" s="14" t="s">
        <v>23</v>
      </c>
      <c r="I57" s="14" t="s">
        <v>134</v>
      </c>
      <c r="J57" s="14">
        <v>0</v>
      </c>
      <c r="K57" s="15">
        <v>18833393</v>
      </c>
      <c r="L57" s="14" t="s">
        <v>136</v>
      </c>
      <c r="M57" s="14" t="s">
        <v>152</v>
      </c>
      <c r="N57" s="16" t="str">
        <f>+H57&amp;" "&amp;E57</f>
        <v>Reduc Factura Compra PMP1277143</v>
      </c>
      <c r="O57" s="16" t="s">
        <v>132</v>
      </c>
    </row>
    <row r="58" spans="1:15" x14ac:dyDescent="0.3">
      <c r="A58" s="14">
        <v>1732</v>
      </c>
      <c r="B58" s="14" t="s">
        <v>2</v>
      </c>
      <c r="C58" s="14">
        <v>860002518</v>
      </c>
      <c r="D58" s="14" t="s">
        <v>128</v>
      </c>
      <c r="E58" s="14" t="s">
        <v>28</v>
      </c>
      <c r="F58" s="14" t="s">
        <v>129</v>
      </c>
      <c r="G58" s="14">
        <v>5100337954</v>
      </c>
      <c r="H58" s="14" t="s">
        <v>71</v>
      </c>
      <c r="I58" s="14" t="s">
        <v>134</v>
      </c>
      <c r="J58" s="14">
        <v>0</v>
      </c>
      <c r="K58" s="15">
        <v>-334587580</v>
      </c>
      <c r="L58" s="14" t="s">
        <v>136</v>
      </c>
      <c r="M58" s="14" t="s">
        <v>152</v>
      </c>
      <c r="N58" s="16" t="str">
        <f>+H58&amp;" "&amp; E58</f>
        <v>Factura Acrededor PMP1277142</v>
      </c>
      <c r="O58" s="16" t="s">
        <v>133</v>
      </c>
    </row>
    <row r="59" spans="1:15" x14ac:dyDescent="0.3">
      <c r="A59" s="14">
        <v>1733</v>
      </c>
      <c r="B59" s="14" t="s">
        <v>2</v>
      </c>
      <c r="C59" s="14">
        <v>860002518</v>
      </c>
      <c r="D59" s="14" t="s">
        <v>128</v>
      </c>
      <c r="E59" s="14" t="s">
        <v>28</v>
      </c>
      <c r="F59" s="14" t="s">
        <v>129</v>
      </c>
      <c r="G59" s="14">
        <v>5100337955</v>
      </c>
      <c r="H59" s="14" t="s">
        <v>23</v>
      </c>
      <c r="I59" s="14" t="s">
        <v>134</v>
      </c>
      <c r="J59" s="14">
        <v>0</v>
      </c>
      <c r="K59" s="15">
        <v>1272672</v>
      </c>
      <c r="L59" s="14" t="s">
        <v>136</v>
      </c>
      <c r="M59" s="14" t="s">
        <v>152</v>
      </c>
      <c r="N59" s="16" t="str">
        <f>+H59&amp;" "&amp;E59</f>
        <v>Reduc Factura Compra PMP1277142</v>
      </c>
      <c r="O59" s="16" t="s">
        <v>132</v>
      </c>
    </row>
    <row r="60" spans="1:15" x14ac:dyDescent="0.3">
      <c r="A60" s="14">
        <v>1735</v>
      </c>
      <c r="B60" s="14" t="s">
        <v>2</v>
      </c>
      <c r="C60" s="14">
        <v>860002518</v>
      </c>
      <c r="D60" s="14" t="s">
        <v>128</v>
      </c>
      <c r="E60" s="14" t="s">
        <v>46</v>
      </c>
      <c r="F60" s="14" t="s">
        <v>129</v>
      </c>
      <c r="G60" s="14">
        <v>5100337288</v>
      </c>
      <c r="H60" s="14" t="s">
        <v>23</v>
      </c>
      <c r="I60" s="14" t="s">
        <v>134</v>
      </c>
      <c r="J60" s="14">
        <v>0</v>
      </c>
      <c r="K60" s="15">
        <v>182382</v>
      </c>
      <c r="M60" s="14" t="s">
        <v>152</v>
      </c>
      <c r="N60" s="16" t="str">
        <f>+H60&amp;" "&amp;E60</f>
        <v>Reduc Factura Compra PMP1276988</v>
      </c>
      <c r="O60" s="16" t="s">
        <v>132</v>
      </c>
    </row>
    <row r="61" spans="1:15" x14ac:dyDescent="0.3">
      <c r="A61" s="14">
        <v>1736</v>
      </c>
      <c r="B61" s="14" t="s">
        <v>2</v>
      </c>
      <c r="C61" s="14">
        <v>860002518</v>
      </c>
      <c r="D61" s="14" t="s">
        <v>128</v>
      </c>
      <c r="E61" s="14" t="s">
        <v>46</v>
      </c>
      <c r="F61" s="14" t="s">
        <v>129</v>
      </c>
      <c r="G61" s="14">
        <v>5100337287</v>
      </c>
      <c r="H61" s="14" t="s">
        <v>71</v>
      </c>
      <c r="I61" s="14" t="s">
        <v>134</v>
      </c>
      <c r="J61" s="14">
        <v>0</v>
      </c>
      <c r="K61" s="15">
        <v>-111183834</v>
      </c>
      <c r="M61" s="14" t="s">
        <v>152</v>
      </c>
      <c r="N61" s="16" t="str">
        <f>+H61&amp;" "&amp; E61</f>
        <v>Factura Acrededor PMP1276988</v>
      </c>
      <c r="O61" s="16" t="s">
        <v>133</v>
      </c>
    </row>
    <row r="62" spans="1:15" x14ac:dyDescent="0.3">
      <c r="A62" s="14">
        <v>1756</v>
      </c>
      <c r="B62" s="14" t="s">
        <v>2</v>
      </c>
      <c r="C62" s="14">
        <v>860002518</v>
      </c>
      <c r="D62" s="14" t="s">
        <v>128</v>
      </c>
      <c r="E62" s="14" t="s">
        <v>63</v>
      </c>
      <c r="F62" s="14" t="s">
        <v>129</v>
      </c>
      <c r="G62" s="14">
        <v>1700027700</v>
      </c>
      <c r="H62" s="14" t="s">
        <v>58</v>
      </c>
      <c r="I62" s="14" t="s">
        <v>137</v>
      </c>
      <c r="J62" s="14">
        <v>0</v>
      </c>
      <c r="K62" s="15">
        <v>6022678</v>
      </c>
      <c r="L62" s="14" t="s">
        <v>140</v>
      </c>
      <c r="M62" s="14" t="s">
        <v>138</v>
      </c>
      <c r="N62" s="16" t="str">
        <f t="shared" ref="N62:N68" si="3">+M62</f>
        <v>NOTA DEVOLUCIÓN POR DEPURACIÓN INVENTARIO SEP 25</v>
      </c>
      <c r="O62" s="16" t="s">
        <v>132</v>
      </c>
    </row>
    <row r="63" spans="1:15" x14ac:dyDescent="0.3">
      <c r="A63" s="14">
        <v>1757</v>
      </c>
      <c r="B63" s="14" t="s">
        <v>2</v>
      </c>
      <c r="C63" s="14">
        <v>860002518</v>
      </c>
      <c r="D63" s="14" t="s">
        <v>128</v>
      </c>
      <c r="E63" s="14" t="s">
        <v>63</v>
      </c>
      <c r="F63" s="14" t="s">
        <v>129</v>
      </c>
      <c r="G63" s="14">
        <v>1700028006</v>
      </c>
      <c r="H63" s="14" t="s">
        <v>58</v>
      </c>
      <c r="I63" s="14" t="s">
        <v>137</v>
      </c>
      <c r="J63" s="14">
        <v>0</v>
      </c>
      <c r="K63" s="15">
        <v>7052198</v>
      </c>
      <c r="L63" s="14" t="s">
        <v>139</v>
      </c>
      <c r="M63" s="14" t="s">
        <v>138</v>
      </c>
      <c r="N63" s="16" t="str">
        <f t="shared" si="3"/>
        <v>NOTA DEVOLUCIÓN POR DEPURACIÓN INVENTARIO SEP 25</v>
      </c>
      <c r="O63" s="16" t="s">
        <v>132</v>
      </c>
    </row>
    <row r="64" spans="1:15" x14ac:dyDescent="0.3">
      <c r="A64" s="14">
        <v>1758</v>
      </c>
      <c r="B64" s="14" t="s">
        <v>2</v>
      </c>
      <c r="C64" s="14">
        <v>860002518</v>
      </c>
      <c r="D64" s="14" t="s">
        <v>128</v>
      </c>
      <c r="E64" s="14" t="s">
        <v>63</v>
      </c>
      <c r="F64" s="14" t="s">
        <v>129</v>
      </c>
      <c r="G64" s="14">
        <v>1700028197</v>
      </c>
      <c r="H64" s="14" t="s">
        <v>58</v>
      </c>
      <c r="I64" s="14" t="s">
        <v>137</v>
      </c>
      <c r="J64" s="14">
        <v>0</v>
      </c>
      <c r="K64" s="15">
        <v>22568987</v>
      </c>
      <c r="M64" s="14" t="s">
        <v>138</v>
      </c>
      <c r="N64" s="16" t="str">
        <f t="shared" si="3"/>
        <v>NOTA DEVOLUCIÓN POR DEPURACIÓN INVENTARIO SEP 25</v>
      </c>
      <c r="O64" s="16" t="s">
        <v>132</v>
      </c>
    </row>
    <row r="65" spans="1:15" x14ac:dyDescent="0.3">
      <c r="A65" s="14">
        <v>1765</v>
      </c>
      <c r="B65" s="14" t="s">
        <v>2</v>
      </c>
      <c r="C65" s="14">
        <v>860002518</v>
      </c>
      <c r="D65" s="14" t="s">
        <v>128</v>
      </c>
      <c r="E65" s="14" t="s">
        <v>63</v>
      </c>
      <c r="F65" s="14" t="s">
        <v>129</v>
      </c>
      <c r="G65" s="14">
        <v>1700027506</v>
      </c>
      <c r="H65" s="14" t="s">
        <v>58</v>
      </c>
      <c r="I65" s="14" t="s">
        <v>137</v>
      </c>
      <c r="J65" s="14">
        <v>0</v>
      </c>
      <c r="K65" s="15">
        <v>8073343</v>
      </c>
      <c r="L65" s="14" t="s">
        <v>141</v>
      </c>
      <c r="M65" s="14" t="s">
        <v>138</v>
      </c>
      <c r="N65" s="16" t="str">
        <f t="shared" si="3"/>
        <v>NOTA DEVOLUCIÓN POR DEPURACIÓN INVENTARIO SEP 25</v>
      </c>
      <c r="O65" s="16" t="s">
        <v>132</v>
      </c>
    </row>
    <row r="66" spans="1:15" x14ac:dyDescent="0.3">
      <c r="A66" s="14">
        <v>1766</v>
      </c>
      <c r="B66" s="14" t="s">
        <v>2</v>
      </c>
      <c r="C66" s="14">
        <v>860002518</v>
      </c>
      <c r="D66" s="14" t="s">
        <v>128</v>
      </c>
      <c r="E66" s="14" t="s">
        <v>63</v>
      </c>
      <c r="F66" s="14" t="s">
        <v>129</v>
      </c>
      <c r="G66" s="14">
        <v>1700027318</v>
      </c>
      <c r="H66" s="14" t="s">
        <v>58</v>
      </c>
      <c r="I66" s="14" t="s">
        <v>137</v>
      </c>
      <c r="J66" s="14">
        <v>0</v>
      </c>
      <c r="K66" s="15">
        <v>3057002</v>
      </c>
      <c r="L66" s="14" t="s">
        <v>131</v>
      </c>
      <c r="M66" s="14" t="s">
        <v>138</v>
      </c>
      <c r="N66" s="16" t="str">
        <f t="shared" si="3"/>
        <v>NOTA DEVOLUCIÓN POR DEPURACIÓN INVENTARIO SEP 25</v>
      </c>
      <c r="O66" s="16" t="s">
        <v>132</v>
      </c>
    </row>
    <row r="67" spans="1:15" x14ac:dyDescent="0.3">
      <c r="A67" s="14">
        <v>1767</v>
      </c>
      <c r="B67" s="14" t="s">
        <v>2</v>
      </c>
      <c r="C67" s="14">
        <v>860002518</v>
      </c>
      <c r="D67" s="14" t="s">
        <v>128</v>
      </c>
      <c r="E67" s="14" t="s">
        <v>59</v>
      </c>
      <c r="F67" s="14" t="s">
        <v>129</v>
      </c>
      <c r="G67" s="14">
        <v>1700028337</v>
      </c>
      <c r="H67" s="14" t="s">
        <v>58</v>
      </c>
      <c r="I67" s="14" t="s">
        <v>142</v>
      </c>
      <c r="J67" s="14">
        <v>0</v>
      </c>
      <c r="K67" s="15">
        <v>481837</v>
      </c>
      <c r="L67" s="14" t="s">
        <v>136</v>
      </c>
      <c r="M67" s="14" t="s">
        <v>143</v>
      </c>
      <c r="N67" s="16" t="str">
        <f t="shared" si="3"/>
        <v>Dev.&gt;.a.30.dias.en.CEDI.8_Sep_</v>
      </c>
      <c r="O67" s="16" t="s">
        <v>144</v>
      </c>
    </row>
    <row r="68" spans="1:15" x14ac:dyDescent="0.3">
      <c r="K68" s="15">
        <f>SUBTOTAL(9,K3:K67)</f>
        <v>-1017083580</v>
      </c>
      <c r="N68" s="16">
        <f t="shared" si="3"/>
        <v>0</v>
      </c>
    </row>
    <row r="69" spans="1:15" x14ac:dyDescent="0.3">
      <c r="K69" s="15">
        <f>+K68*2%</f>
        <v>-20341671.600000001</v>
      </c>
    </row>
  </sheetData>
  <mergeCells count="1">
    <mergeCell ref="A1:M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Morales, Jose-Ricardo</cp:lastModifiedBy>
  <dcterms:created xsi:type="dcterms:W3CDTF">2025-09-24T20:47:02Z</dcterms:created>
  <dcterms:modified xsi:type="dcterms:W3CDTF">2025-09-24T20:55:50Z</dcterms:modified>
</cp:coreProperties>
</file>