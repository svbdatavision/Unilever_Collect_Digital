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jose-ricardo_morales_unilever_com/Documents/Cartera/PROYECTOS/Cash App Cross Andina/Python/Unilever_Collect_Digital/app/Archivos/Template/"/>
    </mc:Choice>
  </mc:AlternateContent>
  <xr:revisionPtr revIDLastSave="1" documentId="11_C9568FE700F496F04134F0F523E1C217CA5D25EC" xr6:coauthVersionLast="47" xr6:coauthVersionMax="47" xr10:uidLastSave="{67DE231D-247A-4460-9EC4-924E63BD3A27}"/>
  <bookViews>
    <workbookView xWindow="-108" yWindow="-108" windowWidth="23256" windowHeight="12456" xr2:uid="{00000000-000D-0000-FFFF-FFFF00000000}"/>
  </bookViews>
  <sheets>
    <sheet name="Template" sheetId="1" r:id="rId1"/>
    <sheet name="Remit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<sst xmlns="http://schemas.openxmlformats.org/spreadsheetml/2006/main" count="122" uniqueCount="79">
  <si>
    <t>Desglose de Pago</t>
  </si>
  <si>
    <t>REFERENCIA DE PAGO</t>
  </si>
  <si>
    <t>CAMPOS NO EDITABLES</t>
  </si>
  <si>
    <t>Cliente</t>
  </si>
  <si>
    <t>FARMATODO COLOMBIA S A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</si>
  <si>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</si>
  <si>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</si>
  <si>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</si>
  <si>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</si>
  <si>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</si>
  <si>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</si>
  <si>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</si>
  <si>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</si>
  <si>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</si>
  <si>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</si>
  <si>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</si>
  <si>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</si>
  <si>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</si>
  <si>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</si>
  <si>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</si>
  <si>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</si>
  <si>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</si>
  <si>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PMP1281716</t>
  </si>
  <si>
    <t>PMP1281717</t>
  </si>
  <si>
    <t>PMP1281718</t>
  </si>
  <si>
    <t>PMP1281719</t>
  </si>
  <si>
    <t>Descuentos no asociados a FC</t>
  </si>
  <si>
    <t>DPP</t>
  </si>
  <si>
    <t>206</t>
  </si>
  <si>
    <t>DPP PMP1281716 OC:14007913 UNILEVER ANDINA COLOMBIA LTDA (DPP)</t>
  </si>
  <si>
    <t>DPP PMP1281717 OC:14007913 UNILEVER ANDINA COLOMBIA LTDA (DPP)</t>
  </si>
  <si>
    <t>DPP PMP1281718 OC:14007743 UNILEVER ANDINA COLOMBIA LTDA (DPP)</t>
  </si>
  <si>
    <t>DPP PMP1281719 OC:14007743 UNILEVER ANDINA COLOMBIA LTDA (DPP)</t>
  </si>
  <si>
    <t>CNQPMP1281717</t>
  </si>
  <si>
    <t>RECHAZOS</t>
  </si>
  <si>
    <t>551</t>
  </si>
  <si>
    <t>RECHAZOS CNQPMP1281717 OC:14007913 UNILEVER ANDINA COLOMBIA LTDA</t>
  </si>
  <si>
    <t>CNQPMP1281718</t>
  </si>
  <si>
    <t>RECHAZOS CNQPMP1281718 OC:14007743 UNILEVER ANDINA COLOMBIA LTDA</t>
  </si>
  <si>
    <t>MENORES VALORES</t>
  </si>
  <si>
    <t>384</t>
  </si>
  <si>
    <t>WOB</t>
  </si>
  <si>
    <t>FARMATODO COLOMBIA, S.A.</t>
  </si>
  <si>
    <t>Nit  830129327-1</t>
  </si>
  <si>
    <t>Presenta la siguiente notificación de Pago a: UNILEVER ANDINA COLOMBIA LTDA</t>
  </si>
  <si>
    <t>Banco</t>
  </si>
  <si>
    <t>Nro Pago</t>
  </si>
  <si>
    <t>Fecha Pago</t>
  </si>
  <si>
    <t>Monto Pago</t>
  </si>
  <si>
    <t>Moneda Pago</t>
  </si>
  <si>
    <t>BANCOLOMBIA</t>
  </si>
  <si>
    <t>‭26-SEP-2025‬</t>
  </si>
  <si>
    <t>COP</t>
  </si>
  <si>
    <t>Nro Factura</t>
  </si>
  <si>
    <t>Fecha Factura</t>
  </si>
  <si>
    <t>Descripción</t>
  </si>
  <si>
    <t>Monto Factura Sin IVA</t>
  </si>
  <si>
    <t>Monto IVA</t>
  </si>
  <si>
    <t>Retención ICA</t>
  </si>
  <si>
    <t>Retención a la Fuente</t>
  </si>
  <si>
    <t>Descuento por Pronto Pago</t>
  </si>
  <si>
    <t>Retención IVA</t>
  </si>
  <si>
    <t>Monto Factura</t>
  </si>
  <si>
    <t>Total</t>
  </si>
  <si>
    <t>‭CNQPMP1281718‬</t>
  </si>
  <si>
    <t>OC:14007743 UNILEVER ANDINA COLOMBIA LTDA</t>
  </si>
  <si>
    <t>‭CNQPMP1281717‬</t>
  </si>
  <si>
    <t>OC:14007913 UNILEVER ANDINA COLOMBIA LTDA</t>
  </si>
  <si>
    <t>‭PMP1281718‬</t>
  </si>
  <si>
    <t>‭PMP1281719‬</t>
  </si>
  <si>
    <t>‭NC-PMP1281718‬</t>
  </si>
  <si>
    <t>OC:14007743 UNILEVER ANDINA COLOMBIA LTDA (DPP)</t>
  </si>
  <si>
    <t>‭NC-PMP1281717‬</t>
  </si>
  <si>
    <t>OC:14007913 UNILEVER ANDINA COLOMBIA LTDA (DPP)</t>
  </si>
  <si>
    <t>‭PMP1281716‬</t>
  </si>
  <si>
    <t>‭PMP1281717‬</t>
  </si>
  <si>
    <t>‭NC-PMP1281716‬</t>
  </si>
  <si>
    <t>‭NC-PMP1281719‬</t>
  </si>
  <si>
    <t>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</si>
</sst>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2" fillId="4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right" vertical="top" wrapText="1"/>
    </xf>
    <xf numFmtId="0" fontId="6" fillId="6" borderId="2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center" vertical="top" wrapText="1"/>
    </xf>
    <xf numFmtId="15" fontId="6" fillId="6" borderId="2" xfId="0" applyNumberFormat="1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 indent="1"/>
    </xf>
    <xf numFmtId="4" fontId="6" fillId="6" borderId="2" xfId="0" applyNumberFormat="1" applyFont="1" applyFill="1" applyBorder="1" applyAlignment="1">
      <alignment horizontal="right" vertical="top" wrapText="1" indent="1"/>
    </xf>
    <xf numFmtId="0" fontId="6" fillId="6" borderId="2" xfId="0" applyFont="1" applyFill="1" applyBorder="1" applyAlignment="1">
      <alignment horizontal="righ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0" fillId="0" borderId="7" xfId="0" applyBorder="1"/>
    <xf numFmtId="0" fontId="6" fillId="6" borderId="2" xfId="0" applyFont="1" applyFill="1" applyBorder="1" applyAlignment="1">
      <alignment horizontal="center" vertical="top" wrapText="1"/>
    </xf>
    <xf numFmtId="0" fontId="0" fillId="0" borderId="6" xfId="0" applyBorder="1"/>
    <xf numFmtId="0" fontId="6" fillId="6" borderId="2" xfId="0" applyFont="1" applyFill="1" applyBorder="1" applyAlignment="1">
      <alignment vertical="top" wrapText="1"/>
    </xf>
    <xf numFmtId="0" fontId="6" fillId="0" borderId="0" xfId="0" applyFont="1" applyAlignment="1">
      <alignment horizontal="right" wrapText="1" indent="1"/>
    </xf>
    <xf numFmtId="0" fontId="0" fillId="0" borderId="0" xfId="0"/>
    <xf numFmtId="4" fontId="6" fillId="6" borderId="2" xfId="0" applyNumberFormat="1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tabSelected="1" topLeftCell="A10" workbookViewId="0">
      <selection activeCell="H19" sqref="H19:H28"/>
    </sheetView>
  </sheetViews>
  <sheetFormatPr defaultRowHeight="14.4" x14ac:dyDescent="0.3"/>
  <cols>
    <col min="1" max="2" width="2" customWidth="1"/>
    <col min="3" max="3" width="30" customWidth="1"/>
    <col min="4" max="4" width="24" customWidth="1"/>
    <col min="5" max="5" width="20" customWidth="1"/>
    <col min="6" max="6" width="18" customWidth="1"/>
    <col min="7" max="7" width="22" customWidth="1"/>
    <col min="8" max="8" width="16" customWidth="1"/>
    <col min="9" max="9" width="66" customWidth="1"/>
  </cols>
  <sheetData>
    <row r="2" spans="3:8" x14ac:dyDescent="0.3">
      <c r="C2" t="s">
        <v>0</v>
      </c>
      <c r="G2" s="1" t="s">
        <v>1</v>
      </c>
      <c r="H2" s="2">
        <v>1000165002</v>
      </c>
    </row>
    <row r="4" spans="3:8" x14ac:dyDescent="0.3">
      <c r="C4" s="3" t="s">
        <v>2</v>
      </c>
    </row>
    <row r="6" spans="3:8" x14ac:dyDescent="0.3">
      <c r="C6" s="1" t="s">
        <v>3</v>
      </c>
      <c r="D6" s="3" t="s">
        <v>4</v>
      </c>
      <c r="F6" s="1" t="s">
        <v>5</v>
      </c>
      <c r="G6" s="4">
        <f>SUM(H19:H28)</f>
        <v>843406905.77999997</v>
      </c>
    </row>
    <row r="7" spans="3:8" x14ac:dyDescent="0.3">
      <c r="C7" s="1"/>
      <c r="D7" s="3"/>
      <c r="F7" s="1" t="s">
        <v>6</v>
      </c>
      <c r="G7" s="4">
        <v>843406920.78999984</v>
      </c>
    </row>
    <row r="8" spans="3:8" x14ac:dyDescent="0.3">
      <c r="C8" s="1" t="s">
        <v>7</v>
      </c>
      <c r="D8" s="3">
        <v>10324901</v>
      </c>
      <c r="F8" s="1" t="s">
        <v>8</v>
      </c>
      <c r="G8" s="4">
        <v>843406920.78999984</v>
      </c>
    </row>
    <row r="11" spans="3:8" x14ac:dyDescent="0.3">
      <c r="C11" s="1" t="s">
        <v>9</v>
      </c>
      <c r="D11" s="1" t="s">
        <v>10</v>
      </c>
      <c r="E11" s="1" t="s">
        <v>11</v>
      </c>
      <c r="F11" s="1" t="s">
        <v>12</v>
      </c>
    </row>
    <row r="12" spans="3:8" x14ac:dyDescent="0.3">
      <c r="C12">
        <v>1000165002</v>
      </c>
      <c r="E12" t="s">
        <v>13</v>
      </c>
      <c r="F12" s="5"/>
    </row>
    <row r="18" spans="3:9" x14ac:dyDescent="0.3">
      <c r="C18" s="6" t="s">
        <v>14</v>
      </c>
      <c r="D18" s="6" t="s">
        <v>15</v>
      </c>
      <c r="E18" s="7" t="s">
        <v>16</v>
      </c>
      <c r="F18" s="6" t="s">
        <v>17</v>
      </c>
      <c r="G18" s="6" t="s">
        <v>18</v>
      </c>
      <c r="H18" s="7" t="s">
        <v>19</v>
      </c>
      <c r="I18" s="8" t="s">
        <v>20</v>
      </c>
    </row>
    <row r="19" spans="3:9" x14ac:dyDescent="0.3">
      <c r="C19" s="9" t="s">
        <v>21</v>
      </c>
      <c r="D19" s="9" t="s">
        <v>22</v>
      </c>
      <c r="E19" s="5">
        <v>81072288.370000005</v>
      </c>
      <c r="F19" s="9"/>
      <c r="G19" s="9"/>
      <c r="H19" s="5">
        <v>81072288.370000005</v>
      </c>
      <c r="I19" s="10"/>
    </row>
    <row r="20" spans="3:9" x14ac:dyDescent="0.3">
      <c r="C20" s="9" t="s">
        <v>21</v>
      </c>
      <c r="D20" s="9" t="s">
        <v>23</v>
      </c>
      <c r="E20" s="5">
        <v>439884470.27999997</v>
      </c>
      <c r="F20" s="9"/>
      <c r="G20" s="9"/>
      <c r="H20" s="5">
        <v>439884470.27999997</v>
      </c>
      <c r="I20" s="10"/>
    </row>
    <row r="21" spans="3:9" x14ac:dyDescent="0.3">
      <c r="C21" s="9" t="s">
        <v>21</v>
      </c>
      <c r="D21" s="9" t="s">
        <v>24</v>
      </c>
      <c r="E21" s="5">
        <v>270256433.06999999</v>
      </c>
      <c r="F21" s="9"/>
      <c r="G21" s="9"/>
      <c r="H21" s="5">
        <v>270256433.06999999</v>
      </c>
      <c r="I21" s="10"/>
    </row>
    <row r="22" spans="3:9" x14ac:dyDescent="0.3">
      <c r="C22" s="9" t="s">
        <v>21</v>
      </c>
      <c r="D22" s="9" t="s">
        <v>25</v>
      </c>
      <c r="E22" s="5">
        <v>71885021.030000001</v>
      </c>
      <c r="F22" s="9"/>
      <c r="G22" s="9"/>
      <c r="H22" s="5">
        <v>71885021.030000001</v>
      </c>
      <c r="I22" s="10"/>
    </row>
    <row r="23" spans="3:9" x14ac:dyDescent="0.3">
      <c r="C23" s="9" t="s">
        <v>26</v>
      </c>
      <c r="D23" s="9" t="s">
        <v>22</v>
      </c>
      <c r="E23" s="5">
        <v>-1362559.47</v>
      </c>
      <c r="F23" s="9" t="s">
        <v>27</v>
      </c>
      <c r="G23" s="9" t="s">
        <v>28</v>
      </c>
      <c r="H23" s="5">
        <v>-1362559.47</v>
      </c>
      <c r="I23" s="10" t="s">
        <v>29</v>
      </c>
    </row>
    <row r="24" spans="3:9" x14ac:dyDescent="0.3">
      <c r="C24" s="9" t="s">
        <v>26</v>
      </c>
      <c r="D24" s="9" t="s">
        <v>23</v>
      </c>
      <c r="E24" s="5">
        <v>-7393016.3099999996</v>
      </c>
      <c r="F24" s="9" t="s">
        <v>27</v>
      </c>
      <c r="G24" s="9" t="s">
        <v>28</v>
      </c>
      <c r="H24" s="5">
        <v>-7393016.3099999996</v>
      </c>
      <c r="I24" s="10" t="s">
        <v>30</v>
      </c>
    </row>
    <row r="25" spans="3:9" x14ac:dyDescent="0.3">
      <c r="C25" s="9" t="s">
        <v>26</v>
      </c>
      <c r="D25" s="9" t="s">
        <v>24</v>
      </c>
      <c r="E25" s="5">
        <v>-4542124.93</v>
      </c>
      <c r="F25" s="9" t="s">
        <v>27</v>
      </c>
      <c r="G25" s="9" t="s">
        <v>28</v>
      </c>
      <c r="H25" s="5">
        <v>-4542124.93</v>
      </c>
      <c r="I25" s="10" t="s">
        <v>31</v>
      </c>
    </row>
    <row r="26" spans="3:9" x14ac:dyDescent="0.3">
      <c r="C26" s="9" t="s">
        <v>26</v>
      </c>
      <c r="D26" s="9" t="s">
        <v>25</v>
      </c>
      <c r="E26" s="5">
        <v>-1208151.6100000001</v>
      </c>
      <c r="F26" s="9" t="s">
        <v>27</v>
      </c>
      <c r="G26" s="9" t="s">
        <v>28</v>
      </c>
      <c r="H26" s="5">
        <v>-1208151.6100000001</v>
      </c>
      <c r="I26" s="10" t="s">
        <v>32</v>
      </c>
    </row>
    <row r="27" spans="3:9" x14ac:dyDescent="0.3">
      <c r="C27" s="9" t="s">
        <v>26</v>
      </c>
      <c r="D27" s="9" t="s">
        <v>33</v>
      </c>
      <c r="E27" s="5">
        <v>-3381733.57</v>
      </c>
      <c r="F27" s="9" t="s">
        <v>34</v>
      </c>
      <c r="G27" s="9" t="s">
        <v>35</v>
      </c>
      <c r="H27" s="5">
        <v>-3381733.57</v>
      </c>
      <c r="I27" s="10" t="s">
        <v>36</v>
      </c>
    </row>
    <row r="28" spans="3:9" x14ac:dyDescent="0.3">
      <c r="C28" s="9" t="s">
        <v>26</v>
      </c>
      <c r="D28" s="9" t="s">
        <v>37</v>
      </c>
      <c r="E28" s="5">
        <v>-1803721.08</v>
      </c>
      <c r="F28" s="9" t="s">
        <v>34</v>
      </c>
      <c r="G28" s="9" t="s">
        <v>35</v>
      </c>
      <c r="H28" s="5">
        <v>-1803721.08</v>
      </c>
      <c r="I28" s="10" t="s">
        <v>38</v>
      </c>
    </row>
    <row r="29" spans="3:9" x14ac:dyDescent="0.3">
      <c r="C29" s="9" t="s">
        <v>26</v>
      </c>
      <c r="D29" s="9" t="s">
        <v>22</v>
      </c>
      <c r="E29" s="5">
        <v>2.0499999970197682</v>
      </c>
      <c r="F29" s="9" t="s">
        <v>39</v>
      </c>
      <c r="G29" s="9" t="s">
        <v>40</v>
      </c>
      <c r="H29" s="5">
        <v>2.0499999970197682</v>
      </c>
      <c r="I29" s="10" t="s">
        <v>39</v>
      </c>
    </row>
    <row r="30" spans="3:9" x14ac:dyDescent="0.3">
      <c r="C30" s="9" t="s">
        <v>26</v>
      </c>
      <c r="D30" s="9" t="s">
        <v>23</v>
      </c>
      <c r="E30" s="5">
        <v>6.0800000429153442</v>
      </c>
      <c r="F30" s="9" t="s">
        <v>39</v>
      </c>
      <c r="G30" s="9" t="s">
        <v>40</v>
      </c>
      <c r="H30" s="5">
        <v>6.0800000429153442</v>
      </c>
      <c r="I30" s="10" t="s">
        <v>39</v>
      </c>
    </row>
    <row r="31" spans="3:9" x14ac:dyDescent="0.3">
      <c r="C31" s="9" t="s">
        <v>26</v>
      </c>
      <c r="D31" s="9" t="s">
        <v>24</v>
      </c>
      <c r="E31" s="5">
        <v>8.2099999785423279</v>
      </c>
      <c r="F31" s="9" t="s">
        <v>39</v>
      </c>
      <c r="G31" s="9" t="s">
        <v>40</v>
      </c>
      <c r="H31" s="5">
        <v>8.2099999785423279</v>
      </c>
      <c r="I31" s="10" t="s">
        <v>39</v>
      </c>
    </row>
    <row r="32" spans="3:9" x14ac:dyDescent="0.3">
      <c r="C32" s="9" t="s">
        <v>26</v>
      </c>
      <c r="D32" s="9" t="s">
        <v>25</v>
      </c>
      <c r="E32" s="5">
        <v>-1.3299999982118611</v>
      </c>
      <c r="F32" s="9" t="s">
        <v>39</v>
      </c>
      <c r="G32" s="9" t="s">
        <v>41</v>
      </c>
      <c r="H32" s="5">
        <v>-1.3299999982118611</v>
      </c>
      <c r="I32" s="10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>
      <selection activeCell="F18" sqref="F9:F18"/>
    </sheetView>
  </sheetViews>
  <sheetFormatPr defaultRowHeight="14.4" x14ac:dyDescent="0.3"/>
  <cols>
    <col min="1" max="1" width="17.5546875" customWidth="1"/>
    <col min="2" max="2" width="12.5546875" customWidth="1"/>
    <col min="3" max="3" width="13.5546875" customWidth="1"/>
    <col min="4" max="4" width="15.5546875" customWidth="1"/>
    <col min="5" max="5" width="14.33203125" customWidth="1"/>
    <col min="6" max="6" width="18.5546875" customWidth="1"/>
    <col min="7" max="7" width="14.88671875" customWidth="1"/>
    <col min="8" max="8" width="36.88671875" customWidth="1"/>
    <col min="9" max="9" width="23.88671875" customWidth="1"/>
    <col min="10" max="10" width="15.44140625" customWidth="1"/>
    <col min="11" max="11" width="15.5546875" customWidth="1"/>
    <col min="12" max="12" width="22.44140625" customWidth="1"/>
    <col min="13" max="13" width="28" customWidth="1"/>
    <col min="14" max="14" width="15.5546875" customWidth="1"/>
    <col min="15" max="15" width="17.109375" customWidth="1"/>
  </cols>
  <sheetData>
    <row r="1" spans="1:15" ht="15.6" customHeight="1" x14ac:dyDescent="0.3">
      <c r="A1" s="11" t="s">
        <v>42</v>
      </c>
    </row>
    <row r="3" spans="1:15" ht="15.6" customHeight="1" x14ac:dyDescent="0.3">
      <c r="A3" s="11" t="s">
        <v>43</v>
      </c>
    </row>
    <row r="4" spans="1:15" ht="18" customHeight="1" x14ac:dyDescent="0.35">
      <c r="A4" s="12" t="s">
        <v>44</v>
      </c>
    </row>
    <row r="6" spans="1:15" ht="16.649999999999999" customHeight="1" x14ac:dyDescent="0.3">
      <c r="A6" s="13" t="s">
        <v>45</v>
      </c>
      <c r="B6" s="13" t="s">
        <v>46</v>
      </c>
      <c r="C6" s="13" t="s">
        <v>47</v>
      </c>
      <c r="D6" s="14" t="s">
        <v>48</v>
      </c>
      <c r="E6" s="13" t="s">
        <v>49</v>
      </c>
      <c r="F6" s="30"/>
      <c r="G6" s="31"/>
      <c r="H6" s="31"/>
      <c r="I6" s="31"/>
      <c r="J6" s="31"/>
      <c r="K6" s="31"/>
      <c r="L6" s="31"/>
      <c r="M6" s="31"/>
      <c r="N6" s="31"/>
      <c r="O6" s="32"/>
    </row>
    <row r="7" spans="1:15" ht="15.6" customHeight="1" x14ac:dyDescent="0.3">
      <c r="A7" s="26" t="s">
        <v>50</v>
      </c>
      <c r="B7" s="24">
        <v>1000165002</v>
      </c>
      <c r="C7" s="24" t="s">
        <v>51</v>
      </c>
      <c r="D7" s="29">
        <v>843406905.77999997</v>
      </c>
      <c r="E7" s="24" t="s">
        <v>52</v>
      </c>
      <c r="F7" s="22" t="s">
        <v>53</v>
      </c>
      <c r="G7" s="22" t="s">
        <v>54</v>
      </c>
      <c r="H7" s="22" t="s">
        <v>55</v>
      </c>
      <c r="I7" s="22" t="s">
        <v>56</v>
      </c>
      <c r="J7" s="22" t="s">
        <v>57</v>
      </c>
      <c r="K7" s="22" t="s">
        <v>58</v>
      </c>
      <c r="L7" s="22" t="s">
        <v>59</v>
      </c>
      <c r="M7" s="22" t="s">
        <v>60</v>
      </c>
      <c r="N7" s="22" t="s">
        <v>61</v>
      </c>
      <c r="O7" s="16" t="s">
        <v>62</v>
      </c>
    </row>
    <row r="8" spans="1:15" ht="15.6" customHeight="1" x14ac:dyDescent="0.3">
      <c r="A8" s="25"/>
      <c r="B8" s="25"/>
      <c r="C8" s="25"/>
      <c r="D8" s="25"/>
      <c r="E8" s="25"/>
      <c r="F8" s="23"/>
      <c r="G8" s="23"/>
      <c r="H8" s="23"/>
      <c r="I8" s="23"/>
      <c r="J8" s="23"/>
      <c r="K8" s="23"/>
      <c r="L8" s="23"/>
      <c r="M8" s="23"/>
      <c r="N8" s="23"/>
      <c r="O8" s="17" t="s">
        <v>63</v>
      </c>
    </row>
    <row r="9" spans="1:15" ht="15.6" customHeight="1" x14ac:dyDescent="0.3">
      <c r="A9" s="25"/>
      <c r="B9" s="25"/>
      <c r="C9" s="25"/>
      <c r="D9" s="25"/>
      <c r="E9" s="25"/>
      <c r="F9" s="15" t="s">
        <v>64</v>
      </c>
      <c r="G9" s="18">
        <v>45926</v>
      </c>
      <c r="H9" s="19" t="s">
        <v>65</v>
      </c>
      <c r="I9" s="20">
        <v>-1515732</v>
      </c>
      <c r="J9" s="20">
        <v>-287989.08</v>
      </c>
      <c r="K9" s="21">
        <v>0</v>
      </c>
      <c r="L9" s="21">
        <v>0</v>
      </c>
      <c r="M9" s="21">
        <v>0</v>
      </c>
      <c r="N9" s="21">
        <v>0</v>
      </c>
      <c r="O9" s="20">
        <v>-1803721.08</v>
      </c>
    </row>
    <row r="10" spans="1:15" ht="15.6" customHeight="1" x14ac:dyDescent="0.3">
      <c r="A10" s="25"/>
      <c r="B10" s="25"/>
      <c r="C10" s="25"/>
      <c r="D10" s="25"/>
      <c r="E10" s="25"/>
      <c r="F10" s="15" t="s">
        <v>66</v>
      </c>
      <c r="G10" s="18">
        <v>45926</v>
      </c>
      <c r="H10" s="19" t="s">
        <v>67</v>
      </c>
      <c r="I10" s="20">
        <v>-2841792.92</v>
      </c>
      <c r="J10" s="20">
        <v>-539940.65</v>
      </c>
      <c r="K10" s="21">
        <v>0</v>
      </c>
      <c r="L10" s="21">
        <v>0</v>
      </c>
      <c r="M10" s="21">
        <v>0</v>
      </c>
      <c r="N10" s="21">
        <v>0</v>
      </c>
      <c r="O10" s="20">
        <v>-3381733.57</v>
      </c>
    </row>
    <row r="11" spans="1:15" ht="15.6" customHeight="1" x14ac:dyDescent="0.3">
      <c r="A11" s="25"/>
      <c r="B11" s="25"/>
      <c r="C11" s="25"/>
      <c r="D11" s="25"/>
      <c r="E11" s="25"/>
      <c r="F11" s="15" t="s">
        <v>68</v>
      </c>
      <c r="G11" s="18">
        <v>45899</v>
      </c>
      <c r="H11" s="19" t="s">
        <v>65</v>
      </c>
      <c r="I11" s="20">
        <v>227106246.28</v>
      </c>
      <c r="J11" s="20">
        <v>43150186.789999999</v>
      </c>
      <c r="K11" s="21">
        <v>0</v>
      </c>
      <c r="L11" s="21">
        <v>0</v>
      </c>
      <c r="M11" s="21">
        <v>0</v>
      </c>
      <c r="N11" s="21">
        <v>0</v>
      </c>
      <c r="O11" s="20">
        <v>270256433.06999999</v>
      </c>
    </row>
    <row r="12" spans="1:15" ht="15.6" customHeight="1" x14ac:dyDescent="0.3">
      <c r="A12" s="25"/>
      <c r="B12" s="25"/>
      <c r="C12" s="25"/>
      <c r="D12" s="25"/>
      <c r="E12" s="25"/>
      <c r="F12" s="15" t="s">
        <v>69</v>
      </c>
      <c r="G12" s="18">
        <v>45899</v>
      </c>
      <c r="H12" s="19" t="s">
        <v>65</v>
      </c>
      <c r="I12" s="20">
        <v>60407580.700000003</v>
      </c>
      <c r="J12" s="20">
        <v>11477440.33</v>
      </c>
      <c r="K12" s="21">
        <v>0</v>
      </c>
      <c r="L12" s="21">
        <v>0</v>
      </c>
      <c r="M12" s="21">
        <v>0</v>
      </c>
      <c r="N12" s="21">
        <v>0</v>
      </c>
      <c r="O12" s="20">
        <v>71885021.030000001</v>
      </c>
    </row>
    <row r="13" spans="1:15" ht="15.6" customHeight="1" x14ac:dyDescent="0.3">
      <c r="A13" s="25"/>
      <c r="B13" s="25"/>
      <c r="C13" s="25"/>
      <c r="D13" s="25"/>
      <c r="E13" s="25"/>
      <c r="F13" s="15" t="s">
        <v>70</v>
      </c>
      <c r="G13" s="18">
        <v>45899</v>
      </c>
      <c r="H13" s="19" t="s">
        <v>71</v>
      </c>
      <c r="I13" s="21">
        <v>0</v>
      </c>
      <c r="J13" s="21">
        <v>0</v>
      </c>
      <c r="K13" s="21">
        <v>0</v>
      </c>
      <c r="L13" s="21">
        <v>0</v>
      </c>
      <c r="M13" s="20">
        <v>-4542124.93</v>
      </c>
      <c r="N13" s="21">
        <v>0</v>
      </c>
      <c r="O13" s="20">
        <v>-4542124.93</v>
      </c>
    </row>
    <row r="14" spans="1:15" ht="15.6" customHeight="1" x14ac:dyDescent="0.3">
      <c r="A14" s="25"/>
      <c r="B14" s="25"/>
      <c r="C14" s="25"/>
      <c r="D14" s="25"/>
      <c r="E14" s="25"/>
      <c r="F14" s="15" t="s">
        <v>72</v>
      </c>
      <c r="G14" s="18">
        <v>45899</v>
      </c>
      <c r="H14" s="19" t="s">
        <v>73</v>
      </c>
      <c r="I14" s="21">
        <v>0</v>
      </c>
      <c r="J14" s="21">
        <v>0</v>
      </c>
      <c r="K14" s="21">
        <v>0</v>
      </c>
      <c r="L14" s="21">
        <v>0</v>
      </c>
      <c r="M14" s="20">
        <v>-7393016.3099999996</v>
      </c>
      <c r="N14" s="21">
        <v>0</v>
      </c>
      <c r="O14" s="20">
        <v>-7393016.3099999996</v>
      </c>
    </row>
    <row r="15" spans="1:15" ht="15.6" customHeight="1" x14ac:dyDescent="0.3">
      <c r="A15" s="25"/>
      <c r="B15" s="25"/>
      <c r="C15" s="25"/>
      <c r="D15" s="25"/>
      <c r="E15" s="25"/>
      <c r="F15" s="15" t="s">
        <v>74</v>
      </c>
      <c r="G15" s="18">
        <v>45899</v>
      </c>
      <c r="H15" s="19" t="s">
        <v>67</v>
      </c>
      <c r="I15" s="20">
        <v>68127973.420000002</v>
      </c>
      <c r="J15" s="20">
        <v>12944314.949999999</v>
      </c>
      <c r="K15" s="21">
        <v>0</v>
      </c>
      <c r="L15" s="21">
        <v>0</v>
      </c>
      <c r="M15" s="21">
        <v>0</v>
      </c>
      <c r="N15" s="21">
        <v>0</v>
      </c>
      <c r="O15" s="20">
        <v>81072288.370000005</v>
      </c>
    </row>
    <row r="16" spans="1:15" ht="15.6" customHeight="1" x14ac:dyDescent="0.3">
      <c r="A16" s="25"/>
      <c r="B16" s="25"/>
      <c r="C16" s="25"/>
      <c r="D16" s="25"/>
      <c r="E16" s="25"/>
      <c r="F16" s="15" t="s">
        <v>75</v>
      </c>
      <c r="G16" s="18">
        <v>45899</v>
      </c>
      <c r="H16" s="19" t="s">
        <v>67</v>
      </c>
      <c r="I16" s="20">
        <v>369650815.36000001</v>
      </c>
      <c r="J16" s="20">
        <v>70233654.920000002</v>
      </c>
      <c r="K16" s="21">
        <v>0</v>
      </c>
      <c r="L16" s="21">
        <v>0</v>
      </c>
      <c r="M16" s="21">
        <v>0</v>
      </c>
      <c r="N16" s="21">
        <v>0</v>
      </c>
      <c r="O16" s="20">
        <v>439884470.27999997</v>
      </c>
    </row>
    <row r="17" spans="1:15" ht="15.6" customHeight="1" x14ac:dyDescent="0.3">
      <c r="A17" s="25"/>
      <c r="B17" s="25"/>
      <c r="C17" s="25"/>
      <c r="D17" s="25"/>
      <c r="E17" s="25"/>
      <c r="F17" s="15" t="s">
        <v>76</v>
      </c>
      <c r="G17" s="18">
        <v>45899</v>
      </c>
      <c r="H17" s="19" t="s">
        <v>73</v>
      </c>
      <c r="I17" s="21">
        <v>0</v>
      </c>
      <c r="J17" s="21">
        <v>0</v>
      </c>
      <c r="K17" s="21">
        <v>0</v>
      </c>
      <c r="L17" s="21">
        <v>0</v>
      </c>
      <c r="M17" s="20">
        <v>-1362559.47</v>
      </c>
      <c r="N17" s="21">
        <v>0</v>
      </c>
      <c r="O17" s="20">
        <v>-1362559.47</v>
      </c>
    </row>
    <row r="18" spans="1:15" ht="15.6" customHeight="1" x14ac:dyDescent="0.3">
      <c r="A18" s="23"/>
      <c r="B18" s="23"/>
      <c r="C18" s="23"/>
      <c r="D18" s="23"/>
      <c r="E18" s="23"/>
      <c r="F18" s="15" t="s">
        <v>77</v>
      </c>
      <c r="G18" s="18">
        <v>45899</v>
      </c>
      <c r="H18" s="19" t="s">
        <v>71</v>
      </c>
      <c r="I18" s="21">
        <v>0</v>
      </c>
      <c r="J18" s="21">
        <v>0</v>
      </c>
      <c r="K18" s="21">
        <v>0</v>
      </c>
      <c r="L18" s="21">
        <v>0</v>
      </c>
      <c r="M18" s="20">
        <v>-1208151.6100000001</v>
      </c>
      <c r="N18" s="21">
        <v>0</v>
      </c>
      <c r="O18" s="20">
        <v>-1208151.6100000001</v>
      </c>
    </row>
    <row r="22" spans="1:15" ht="15.6" customHeight="1" x14ac:dyDescent="0.3">
      <c r="A22" s="27" t="s">
        <v>78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</sheetData>
  <mergeCells count="16">
    <mergeCell ref="F6:O6"/>
    <mergeCell ref="A22:O22"/>
    <mergeCell ref="I7:I8"/>
    <mergeCell ref="M7:M8"/>
    <mergeCell ref="J7:J8"/>
    <mergeCell ref="D7:D18"/>
    <mergeCell ref="B7:B18"/>
    <mergeCell ref="N7:N8"/>
    <mergeCell ref="C7:C18"/>
    <mergeCell ref="A7:A18"/>
    <mergeCell ref="E7:E18"/>
    <mergeCell ref="G7:G8"/>
    <mergeCell ref="K7:K8"/>
    <mergeCell ref="H7:H8"/>
    <mergeCell ref="F7:F8"/>
    <mergeCell ref="L7:L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Morales, Jose-Ricardo</cp:lastModifiedBy>
  <dcterms:created xsi:type="dcterms:W3CDTF">2025-09-27T14:51:29Z</dcterms:created>
  <dcterms:modified xsi:type="dcterms:W3CDTF">2025-09-27T14:55:44Z</dcterms:modified>
</cp:coreProperties>
</file>