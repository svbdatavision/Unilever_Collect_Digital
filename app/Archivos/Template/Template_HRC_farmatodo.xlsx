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https://unilever-my.sharepoint.com/personal/jose-ricardo_morales_unilever_com/Documents/Cartera/PROYECTOS/Cash App Cross Andina/Python/Unilever_Collect_Digital/app/Archivos/Template/"/>
    </mc:Choice>
  </mc:AlternateContent>
  <xr:revisionPtr revIDLastSave="27" documentId="11_C9568FE7F49C54DDB674F9B43CE1C217CA5D1EFC" xr6:coauthVersionLast="47" xr6:coauthVersionMax="47" xr10:uidLastSave="{94917A65-20FB-4CD6-AFEB-EEA3F3EB2F26}"/>
  <bookViews>
    <workbookView xWindow="-108" yWindow="-108" windowWidth="23256" windowHeight="12456" xr2:uid="{00000000-000D-0000-FFFF-FFFF00000000}"/>
  </bookViews>
  <sheets>
    <sheet name="Template" sheetId="1" r:id="rId1"/>
    <sheet name="Remittanc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1" l="1"/>
  <c r="G6" i="1"/>
</calcChain>
</file>

<file path=xl/sharedStrings.xml><?xml version="1.0" encoding="utf-8"?>
<sst xmlns="http://schemas.openxmlformats.org/spreadsheetml/2006/main" count="117" uniqueCount="92">
  <si>
    <t>Desglose de Pago</t>
  </si>
  <si>
    <t>REFERENCIA DE PAGO</t>
  </si>
  <si>
    <t>CAMPOS NO EDITABLES</t>
  </si>
  <si>
    <t>Cliente</t>
  </si>
  <si>
    <t>FARMATODO COLOMBIA S A</t>
  </si>
  <si>
    <t>TOTAL s/ BANCOS</t>
  </si>
  <si>
    <t>TOTAL s/ DETALLE</t>
  </si>
  <si>
    <t>Codigo de Cliente</t>
  </si>
  <si>
    <t>DIFERENCIA</t>
  </si>
  <si>
    <t>Referencia</t>
  </si>
  <si>
    <t>Fecha</t>
  </si>
  <si>
    <t>Método de Pago</t>
  </si>
  <si>
    <t>Valor</t>
  </si>
  <si>
    <t>Tipo de Documento</t>
  </si>
  <si>
    <t>Referencia / Factura</t>
  </si>
  <si>
    <t>Importe de factura</t>
  </si>
  <si>
    <t>Descuento</t>
  </si>
  <si>
    <t>Motivo del descuento</t>
  </si>
  <si>
    <t>Pago Neto</t>
  </si>
  <si>
    <t>Comentarios</t>
  </si>
  <si>
    <t>Nota de Crédito</t>
  </si>
  <si>
    <t>1200013673</t>
  </si>
  <si>
    <t>NRO</t>
  </si>
  <si>
    <t>favor del cliente sin aplicar por falta de soporte</t>
  </si>
  <si>
    <t>Nota Debito</t>
  </si>
  <si>
    <t>NDNC-DC04-757791</t>
  </si>
  <si>
    <t>NOTAS CREDITO</t>
  </si>
  <si>
    <t>987</t>
  </si>
  <si>
    <t>Saldo FC NDNC-DC04-757791</t>
  </si>
  <si>
    <t>NDNC-DC04-757790</t>
  </si>
  <si>
    <t>Saldo FC NDNC-DC04-757790</t>
  </si>
  <si>
    <t>NDNC-DC04-757789</t>
  </si>
  <si>
    <t>Saldo FC NDNC-DC04-757789</t>
  </si>
  <si>
    <t>Factura</t>
  </si>
  <si>
    <t>PMP1279546</t>
  </si>
  <si>
    <t>Descuentos no asociados a FC</t>
  </si>
  <si>
    <t>DPP</t>
  </si>
  <si>
    <t>206</t>
  </si>
  <si>
    <t>DPP PMP1279546 OC:14007431 UNILEVER ANDINA COLOMBIA LTDA (DPP)</t>
  </si>
  <si>
    <t>NCNC-DC04-757790</t>
  </si>
  <si>
    <t>Myr Vlr Pagado NCNC-DC04-757790</t>
  </si>
  <si>
    <t>NCNC-DC04-757791</t>
  </si>
  <si>
    <t>Myr Vlr Pagado NCNC-DC04-757791</t>
  </si>
  <si>
    <t>NCNC-DC04-757789</t>
  </si>
  <si>
    <t>Myr Vlr Pagado NCNC-DC04-757789</t>
  </si>
  <si>
    <t>CNQPMP1279546</t>
  </si>
  <si>
    <t>RECHAZOS</t>
  </si>
  <si>
    <t>551</t>
  </si>
  <si>
    <t>RECHAZOS CNQPMP1279546 OC:14007431 UNILEVER ANDINA COLOMBIA LTDA</t>
  </si>
  <si>
    <t>MENORES VALORES</t>
  </si>
  <si>
    <t>WOB</t>
  </si>
  <si>
    <t>FARMATODO COLOMBIA, S.A.</t>
  </si>
  <si>
    <t>Nit  830129327-1</t>
  </si>
  <si>
    <t>Presenta la siguiente notificación de Pago a: UNILEVER ANDINA COLOMBIA LTDA</t>
  </si>
  <si>
    <t>Banco</t>
  </si>
  <si>
    <t>Nro Pago</t>
  </si>
  <si>
    <t>Fecha Pago</t>
  </si>
  <si>
    <t>Monto Pago</t>
  </si>
  <si>
    <t>Moneda Pago</t>
  </si>
  <si>
    <t>PROSEGUR</t>
  </si>
  <si>
    <t>‭19-SEP-2025‬</t>
  </si>
  <si>
    <t>COP</t>
  </si>
  <si>
    <t>Nro Factura</t>
  </si>
  <si>
    <t>Fecha Factura</t>
  </si>
  <si>
    <t>Descripción</t>
  </si>
  <si>
    <t>Monto Factura Sin IVA</t>
  </si>
  <si>
    <t>Monto IVA</t>
  </si>
  <si>
    <t>Retención ICA</t>
  </si>
  <si>
    <t>Retención a la Fuente</t>
  </si>
  <si>
    <t>Descuento por Pronto Pago</t>
  </si>
  <si>
    <t>Retención IVA</t>
  </si>
  <si>
    <t>Monto Factura</t>
  </si>
  <si>
    <t>Total</t>
  </si>
  <si>
    <t>‭NCNC-DC04-757790‬</t>
  </si>
  <si>
    <t>Cobro Descuento Apoyo Apertura mes de Agosto (Cerritos, Americas, Palmas)</t>
  </si>
  <si>
    <t>‭NDNC-DC04-757791‬</t>
  </si>
  <si>
    <t>Liquidaciones ventas pos Agosto - Cuidado De La Mama</t>
  </si>
  <si>
    <t>‭NDNC-DC04-757790‬</t>
  </si>
  <si>
    <t>Liquidaciones ventas pos Agosto - Horas De Locura 31 a 1</t>
  </si>
  <si>
    <t>‭NDNC-DC04-757789‬</t>
  </si>
  <si>
    <t>Liquidaciones ventas pos Agosto - Semana Lactancia</t>
  </si>
  <si>
    <t>‭NCNC-DC04-757791‬</t>
  </si>
  <si>
    <t>Ponds Serum solar</t>
  </si>
  <si>
    <t>‭NCNC-DC04-757789‬</t>
  </si>
  <si>
    <t>Negociaciones Unilever</t>
  </si>
  <si>
    <t>‭CNQPMP1279546‬</t>
  </si>
  <si>
    <t>OC:14007431 UNILEVER ANDINA COLOMBIA LTDA</t>
  </si>
  <si>
    <t>‭PMP1279546‬</t>
  </si>
  <si>
    <t>‭NC-PMP1279546‬</t>
  </si>
  <si>
    <t>OC:14007431 UNILEVER ANDINA COLOMBIA LTDA (DPP)</t>
  </si>
  <si>
    <t>                    </t>
  </si>
  <si>
    <t>384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</si>
</sst>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rgb="FFFFFFFF"/>
      <name val="Calibri"/>
      <family val="2"/>
    </font>
    <font>
      <sz val="11"/>
      <color rgb="FF000000"/>
      <name val="Calibri"/>
      <family val="2"/>
    </font>
    <font>
      <b/>
      <sz val="12"/>
      <color rgb="FF000000"/>
      <name val="Times New Roman"/>
      <family val="1"/>
    </font>
    <font>
      <sz val="14"/>
      <color rgb="FF000000"/>
      <name val="Times New Roman"/>
      <family val="1"/>
    </font>
    <font>
      <sz val="11"/>
      <color theme="1"/>
      <name val="Calibri"/>
      <family val="2"/>
      <scheme val="minor"/>
    </font>
    <font>
      <sz val="12"/>
      <color rgb="FF000000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002366"/>
        <bgColor rgb="FF002366"/>
      </patternFill>
    </fill>
    <fill>
      <patternFill patternType="solid">
        <fgColor rgb="FF1E90FF"/>
        <bgColor rgb="FF1E90FF"/>
      </patternFill>
    </fill>
    <fill>
      <patternFill patternType="solid">
        <fgColor rgb="FFFFFF00"/>
        <bgColor rgb="FFFFFF00"/>
      </patternFill>
    </fill>
    <fill>
      <patternFill patternType="solid">
        <fgColor rgb="FFE7F3FD"/>
        <bgColor indexed="64"/>
      </patternFill>
    </fill>
    <fill>
      <patternFill patternType="solid">
        <fgColor rgb="FFFFFFFF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0" xfId="0" applyFont="1" applyFill="1"/>
    <xf numFmtId="0" fontId="2" fillId="4" borderId="0" xfId="0" applyFont="1" applyFill="1"/>
    <xf numFmtId="0" fontId="1" fillId="3" borderId="0" xfId="0" applyFont="1" applyFill="1"/>
    <xf numFmtId="4" fontId="1" fillId="3" borderId="0" xfId="0" applyNumberFormat="1" applyFont="1" applyFill="1"/>
    <xf numFmtId="4" fontId="0" fillId="0" borderId="0" xfId="0" applyNumberFormat="1"/>
    <xf numFmtId="49" fontId="1" fillId="2" borderId="1" xfId="0" applyNumberFormat="1" applyFont="1" applyFill="1" applyBorder="1" applyAlignment="1">
      <alignment horizontal="center" vertical="center"/>
    </xf>
    <xf numFmtId="4" fontId="1" fillId="2" borderId="1" xfId="0" applyNumberFormat="1" applyFont="1" applyFill="1" applyBorder="1" applyAlignment="1">
      <alignment horizontal="center" vertical="top"/>
    </xf>
    <xf numFmtId="49" fontId="1" fillId="2" borderId="1" xfId="0" applyNumberFormat="1" applyFont="1" applyFill="1" applyBorder="1" applyAlignment="1">
      <alignment horizontal="center" vertical="top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  <xf numFmtId="0" fontId="3" fillId="0" borderId="0" xfId="0" applyFont="1" applyAlignment="1">
      <alignment horizontal="left" indent="1"/>
    </xf>
    <xf numFmtId="0" fontId="4" fillId="0" borderId="0" xfId="0" applyFont="1" applyAlignment="1">
      <alignment horizontal="left" indent="1"/>
    </xf>
    <xf numFmtId="0" fontId="3" fillId="5" borderId="2" xfId="0" applyFont="1" applyFill="1" applyBorder="1" applyAlignment="1">
      <alignment horizontal="center" vertical="top" wrapText="1"/>
    </xf>
    <xf numFmtId="0" fontId="3" fillId="5" borderId="2" xfId="0" applyFont="1" applyFill="1" applyBorder="1" applyAlignment="1">
      <alignment horizontal="right" vertical="top" wrapText="1"/>
    </xf>
    <xf numFmtId="0" fontId="6" fillId="6" borderId="2" xfId="0" applyFont="1" applyFill="1" applyBorder="1" applyAlignment="1">
      <alignment horizontal="center" vertical="top" wrapText="1"/>
    </xf>
    <xf numFmtId="0" fontId="3" fillId="5" borderId="5" xfId="0" applyFont="1" applyFill="1" applyBorder="1" applyAlignment="1">
      <alignment horizontal="center" vertical="top" wrapText="1"/>
    </xf>
    <xf numFmtId="0" fontId="3" fillId="5" borderId="7" xfId="0" applyFont="1" applyFill="1" applyBorder="1" applyAlignment="1">
      <alignment horizontal="center" vertical="top" wrapText="1"/>
    </xf>
    <xf numFmtId="15" fontId="6" fillId="6" borderId="2" xfId="0" applyNumberFormat="1" applyFont="1" applyFill="1" applyBorder="1" applyAlignment="1">
      <alignment horizontal="center" vertical="top" wrapText="1"/>
    </xf>
    <xf numFmtId="0" fontId="6" fillId="6" borderId="2" xfId="0" applyFont="1" applyFill="1" applyBorder="1" applyAlignment="1">
      <alignment horizontal="left" vertical="top" wrapText="1" indent="1"/>
    </xf>
    <xf numFmtId="4" fontId="6" fillId="6" borderId="2" xfId="0" applyNumberFormat="1" applyFont="1" applyFill="1" applyBorder="1" applyAlignment="1">
      <alignment horizontal="right" vertical="top" wrapText="1" indent="1"/>
    </xf>
    <xf numFmtId="0" fontId="6" fillId="6" borderId="2" xfId="0" applyFont="1" applyFill="1" applyBorder="1" applyAlignment="1">
      <alignment horizontal="right" vertical="top" wrapText="1" indent="1"/>
    </xf>
    <xf numFmtId="0" fontId="3" fillId="5" borderId="2" xfId="0" applyFont="1" applyFill="1" applyBorder="1" applyAlignment="1">
      <alignment horizontal="center" vertical="top" wrapText="1"/>
    </xf>
    <xf numFmtId="0" fontId="0" fillId="0" borderId="7" xfId="0" applyBorder="1"/>
    <xf numFmtId="0" fontId="6" fillId="0" borderId="0" xfId="0" applyFont="1" applyAlignment="1">
      <alignment horizontal="right" wrapText="1" indent="1"/>
    </xf>
    <xf numFmtId="0" fontId="0" fillId="0" borderId="0" xfId="0"/>
    <xf numFmtId="0" fontId="5" fillId="5" borderId="2" xfId="0" applyFont="1" applyFill="1" applyBorder="1" applyAlignment="1">
      <alignment vertical="top" wrapText="1"/>
    </xf>
    <xf numFmtId="0" fontId="0" fillId="0" borderId="3" xfId="0" applyBorder="1"/>
    <xf numFmtId="0" fontId="0" fillId="0" borderId="4" xfId="0" applyBorder="1"/>
    <xf numFmtId="0" fontId="6" fillId="6" borderId="2" xfId="0" applyFont="1" applyFill="1" applyBorder="1" applyAlignment="1">
      <alignment horizontal="center" vertical="top" wrapText="1"/>
    </xf>
    <xf numFmtId="0" fontId="0" fillId="0" borderId="6" xfId="0" applyBorder="1"/>
    <xf numFmtId="0" fontId="6" fillId="6" borderId="2" xfId="0" applyFont="1" applyFill="1" applyBorder="1" applyAlignment="1">
      <alignment vertical="top" wrapText="1"/>
    </xf>
    <xf numFmtId="4" fontId="6" fillId="6" borderId="2" xfId="0" applyNumberFormat="1" applyFont="1" applyFill="1" applyBorder="1" applyAlignment="1">
      <alignment horizontal="right" vertical="top" wrapText="1"/>
    </xf>
    <xf numFmtId="49" fontId="0" fillId="0" borderId="0" xfId="0" applyNumberForma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2:I30"/>
  <sheetViews>
    <sheetView tabSelected="1" topLeftCell="A7" workbookViewId="0">
      <selection activeCell="G8" sqref="G8"/>
    </sheetView>
  </sheetViews>
  <sheetFormatPr defaultRowHeight="14.4" x14ac:dyDescent="0.3"/>
  <cols>
    <col min="1" max="2" width="2" customWidth="1"/>
    <col min="3" max="3" width="30" customWidth="1"/>
    <col min="4" max="4" width="24" customWidth="1"/>
    <col min="5" max="5" width="20" customWidth="1"/>
    <col min="6" max="6" width="18" customWidth="1"/>
    <col min="7" max="7" width="22" customWidth="1"/>
    <col min="8" max="8" width="17" customWidth="1"/>
    <col min="9" max="9" width="66" customWidth="1"/>
  </cols>
  <sheetData>
    <row r="2" spans="3:8" x14ac:dyDescent="0.3">
      <c r="C2" t="s">
        <v>0</v>
      </c>
      <c r="G2" s="1" t="s">
        <v>1</v>
      </c>
      <c r="H2" s="2">
        <v>35183</v>
      </c>
    </row>
    <row r="4" spans="3:8" x14ac:dyDescent="0.3">
      <c r="C4" s="3" t="s">
        <v>2</v>
      </c>
    </row>
    <row r="6" spans="3:8" x14ac:dyDescent="0.3">
      <c r="C6" s="1" t="s">
        <v>3</v>
      </c>
      <c r="D6" s="3" t="s">
        <v>4</v>
      </c>
      <c r="F6" s="1" t="s">
        <v>5</v>
      </c>
      <c r="G6" s="4">
        <f>SUM(H19:H32)</f>
        <v>4.9415976199895795E-8</v>
      </c>
    </row>
    <row r="7" spans="3:8" x14ac:dyDescent="0.3">
      <c r="C7" s="1"/>
      <c r="D7" s="3"/>
      <c r="F7" s="1" t="s">
        <v>6</v>
      </c>
      <c r="G7" s="4">
        <f>SUM(H19:H32)</f>
        <v>4.9415976199895795E-8</v>
      </c>
    </row>
    <row r="8" spans="3:8" x14ac:dyDescent="0.3">
      <c r="C8" s="1" t="s">
        <v>7</v>
      </c>
      <c r="D8" s="3">
        <v>10324901</v>
      </c>
      <c r="F8" s="1" t="s">
        <v>8</v>
      </c>
      <c r="G8" s="4">
        <v>-1.257285475730896E-8</v>
      </c>
    </row>
    <row r="11" spans="3:8" x14ac:dyDescent="0.3">
      <c r="C11" s="1" t="s">
        <v>9</v>
      </c>
      <c r="D11" s="1" t="s">
        <v>10</v>
      </c>
      <c r="E11" s="1" t="s">
        <v>11</v>
      </c>
      <c r="F11" s="1" t="s">
        <v>12</v>
      </c>
    </row>
    <row r="12" spans="3:8" x14ac:dyDescent="0.3">
      <c r="F12" s="5"/>
    </row>
    <row r="18" spans="3:9" x14ac:dyDescent="0.3">
      <c r="C18" s="6" t="s">
        <v>13</v>
      </c>
      <c r="D18" s="6" t="s">
        <v>14</v>
      </c>
      <c r="E18" s="7" t="s">
        <v>15</v>
      </c>
      <c r="F18" s="6" t="s">
        <v>16</v>
      </c>
      <c r="G18" s="6" t="s">
        <v>17</v>
      </c>
      <c r="H18" s="7" t="s">
        <v>18</v>
      </c>
      <c r="I18" s="8" t="s">
        <v>19</v>
      </c>
    </row>
    <row r="19" spans="3:9" x14ac:dyDescent="0.3">
      <c r="C19" s="33" t="s">
        <v>33</v>
      </c>
      <c r="D19" s="33" t="s">
        <v>34</v>
      </c>
      <c r="E19" s="5">
        <v>848224589.05999994</v>
      </c>
      <c r="F19" s="33"/>
      <c r="G19" s="9"/>
      <c r="H19" s="5">
        <v>848224589.05999994</v>
      </c>
      <c r="I19" s="10"/>
    </row>
    <row r="20" spans="3:9" x14ac:dyDescent="0.3">
      <c r="C20" s="33" t="s">
        <v>20</v>
      </c>
      <c r="D20" s="33" t="s">
        <v>21</v>
      </c>
      <c r="E20" s="5">
        <v>-829921733</v>
      </c>
      <c r="F20" s="33" t="s">
        <v>22</v>
      </c>
      <c r="G20" s="9"/>
      <c r="H20" s="5">
        <v>-829921733</v>
      </c>
      <c r="I20" s="10" t="s">
        <v>23</v>
      </c>
    </row>
    <row r="21" spans="3:9" x14ac:dyDescent="0.3">
      <c r="C21" s="33" t="s">
        <v>24</v>
      </c>
      <c r="D21" s="33" t="s">
        <v>25</v>
      </c>
      <c r="E21" s="5">
        <v>10000000</v>
      </c>
      <c r="F21" s="33" t="s">
        <v>26</v>
      </c>
      <c r="G21" s="9" t="s">
        <v>27</v>
      </c>
      <c r="H21" s="5">
        <v>10000000</v>
      </c>
      <c r="I21" s="10" t="s">
        <v>28</v>
      </c>
    </row>
    <row r="22" spans="3:9" x14ac:dyDescent="0.3">
      <c r="C22" s="33" t="s">
        <v>24</v>
      </c>
      <c r="D22" s="33" t="s">
        <v>29</v>
      </c>
      <c r="E22" s="5">
        <v>39000000</v>
      </c>
      <c r="F22" s="33" t="s">
        <v>26</v>
      </c>
      <c r="G22" s="9" t="s">
        <v>27</v>
      </c>
      <c r="H22" s="5">
        <v>39000000</v>
      </c>
      <c r="I22" s="10" t="s">
        <v>30</v>
      </c>
    </row>
    <row r="23" spans="3:9" x14ac:dyDescent="0.3">
      <c r="C23" s="33" t="s">
        <v>24</v>
      </c>
      <c r="D23" s="33" t="s">
        <v>31</v>
      </c>
      <c r="E23" s="5">
        <v>70000000</v>
      </c>
      <c r="F23" s="33" t="s">
        <v>26</v>
      </c>
      <c r="G23" s="9" t="s">
        <v>27</v>
      </c>
      <c r="H23" s="5">
        <v>70000000</v>
      </c>
      <c r="I23" s="10" t="s">
        <v>32</v>
      </c>
    </row>
    <row r="24" spans="3:9" x14ac:dyDescent="0.3">
      <c r="C24" s="33" t="s">
        <v>35</v>
      </c>
      <c r="D24" s="33" t="s">
        <v>34</v>
      </c>
      <c r="E24" s="5">
        <v>-14255875.449999999</v>
      </c>
      <c r="F24" s="33" t="s">
        <v>36</v>
      </c>
      <c r="G24" s="9" t="s">
        <v>37</v>
      </c>
      <c r="H24" s="5">
        <v>-14255875.449999999</v>
      </c>
      <c r="I24" s="10" t="s">
        <v>38</v>
      </c>
    </row>
    <row r="25" spans="3:9" x14ac:dyDescent="0.3">
      <c r="C25" s="33" t="s">
        <v>35</v>
      </c>
      <c r="D25" s="33" t="s">
        <v>39</v>
      </c>
      <c r="E25" s="5">
        <v>-39000000</v>
      </c>
      <c r="F25" s="33" t="s">
        <v>26</v>
      </c>
      <c r="G25" s="9" t="s">
        <v>27</v>
      </c>
      <c r="H25" s="5">
        <v>-39000000</v>
      </c>
      <c r="I25" s="10" t="s">
        <v>40</v>
      </c>
    </row>
    <row r="26" spans="3:9" x14ac:dyDescent="0.3">
      <c r="C26" s="33" t="s">
        <v>35</v>
      </c>
      <c r="D26" s="33" t="s">
        <v>41</v>
      </c>
      <c r="E26" s="5">
        <v>-10000000</v>
      </c>
      <c r="F26" s="33" t="s">
        <v>26</v>
      </c>
      <c r="G26" s="9" t="s">
        <v>27</v>
      </c>
      <c r="H26" s="5">
        <v>-10000000</v>
      </c>
      <c r="I26" s="10" t="s">
        <v>42</v>
      </c>
    </row>
    <row r="27" spans="3:9" x14ac:dyDescent="0.3">
      <c r="C27" s="33" t="s">
        <v>35</v>
      </c>
      <c r="D27" s="33" t="s">
        <v>43</v>
      </c>
      <c r="E27" s="5">
        <v>-70000000</v>
      </c>
      <c r="F27" s="33" t="s">
        <v>26</v>
      </c>
      <c r="G27" s="9" t="s">
        <v>27</v>
      </c>
      <c r="H27" s="5">
        <v>-70000000</v>
      </c>
      <c r="I27" s="10" t="s">
        <v>44</v>
      </c>
    </row>
    <row r="28" spans="3:9" x14ac:dyDescent="0.3">
      <c r="C28" s="33" t="s">
        <v>35</v>
      </c>
      <c r="D28" s="33" t="s">
        <v>45</v>
      </c>
      <c r="E28" s="5">
        <v>-4046980.56</v>
      </c>
      <c r="F28" s="33" t="s">
        <v>46</v>
      </c>
      <c r="G28" s="9" t="s">
        <v>47</v>
      </c>
      <c r="H28" s="5">
        <v>-4046980.56</v>
      </c>
      <c r="I28" s="10" t="s">
        <v>48</v>
      </c>
    </row>
    <row r="29" spans="3:9" x14ac:dyDescent="0.3">
      <c r="C29" s="33" t="s">
        <v>35</v>
      </c>
      <c r="D29" s="33" t="s">
        <v>34</v>
      </c>
      <c r="E29" s="5">
        <v>-4.7399998903274536</v>
      </c>
      <c r="F29" s="33" t="s">
        <v>49</v>
      </c>
      <c r="G29" s="9" t="s">
        <v>50</v>
      </c>
      <c r="H29" s="5">
        <v>-4.7399998903274536</v>
      </c>
      <c r="I29" s="10" t="s">
        <v>49</v>
      </c>
    </row>
    <row r="30" spans="3:9" x14ac:dyDescent="0.3">
      <c r="C30" s="33" t="s">
        <v>35</v>
      </c>
      <c r="D30" s="33" t="s">
        <v>49</v>
      </c>
      <c r="E30" s="5">
        <v>4.6900000000000004</v>
      </c>
      <c r="F30" s="33" t="s">
        <v>49</v>
      </c>
      <c r="G30" s="9" t="s">
        <v>91</v>
      </c>
      <c r="H30" s="5">
        <v>4.6900000000000004</v>
      </c>
      <c r="I30" s="10" t="s">
        <v>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1"/>
  <sheetViews>
    <sheetView workbookViewId="0">
      <selection activeCell="F9" sqref="F9:F10"/>
    </sheetView>
  </sheetViews>
  <sheetFormatPr defaultRowHeight="14.4" x14ac:dyDescent="0.3"/>
  <cols>
    <col min="1" max="1" width="12.77734375" customWidth="1"/>
    <col min="2" max="2" width="10.21875" customWidth="1"/>
    <col min="3" max="3" width="13.6640625" customWidth="1"/>
    <col min="4" max="4" width="15.6640625" customWidth="1"/>
    <col min="5" max="5" width="14.5546875" customWidth="1"/>
    <col min="6" max="6" width="21.77734375" customWidth="1"/>
    <col min="7" max="7" width="15.109375" customWidth="1"/>
    <col min="8" max="8" width="37.21875" customWidth="1"/>
    <col min="9" max="9" width="24.21875" customWidth="1"/>
    <col min="10" max="10" width="16.77734375" customWidth="1"/>
    <col min="11" max="11" width="15.6640625" customWidth="1"/>
    <col min="12" max="12" width="22.6640625" customWidth="1"/>
    <col min="13" max="13" width="28.33203125" customWidth="1"/>
    <col min="14" max="14" width="15.6640625" customWidth="1"/>
    <col min="15" max="15" width="17.5546875" customWidth="1"/>
  </cols>
  <sheetData>
    <row r="1" spans="1:15" ht="15.6" customHeight="1" x14ac:dyDescent="0.3">
      <c r="A1" s="11" t="s">
        <v>51</v>
      </c>
    </row>
    <row r="3" spans="1:15" ht="15.6" customHeight="1" x14ac:dyDescent="0.3">
      <c r="A3" s="11" t="s">
        <v>52</v>
      </c>
    </row>
    <row r="4" spans="1:15" ht="18" customHeight="1" x14ac:dyDescent="0.35">
      <c r="A4" s="12" t="s">
        <v>53</v>
      </c>
    </row>
    <row r="6" spans="1:15" ht="16.649999999999999" customHeight="1" x14ac:dyDescent="0.3">
      <c r="A6" s="13" t="s">
        <v>54</v>
      </c>
      <c r="B6" s="13" t="s">
        <v>55</v>
      </c>
      <c r="C6" s="13" t="s">
        <v>56</v>
      </c>
      <c r="D6" s="14" t="s">
        <v>57</v>
      </c>
      <c r="E6" s="13" t="s">
        <v>58</v>
      </c>
      <c r="F6" s="26"/>
      <c r="G6" s="27"/>
      <c r="H6" s="27"/>
      <c r="I6" s="27"/>
      <c r="J6" s="27"/>
      <c r="K6" s="27"/>
      <c r="L6" s="27"/>
      <c r="M6" s="27"/>
      <c r="N6" s="27"/>
      <c r="O6" s="28"/>
    </row>
    <row r="7" spans="1:15" ht="15.6" customHeight="1" x14ac:dyDescent="0.3">
      <c r="A7" s="31" t="s">
        <v>59</v>
      </c>
      <c r="B7" s="29">
        <v>35183</v>
      </c>
      <c r="C7" s="29" t="s">
        <v>60</v>
      </c>
      <c r="D7" s="32">
        <v>829921733.04999995</v>
      </c>
      <c r="E7" s="29" t="s">
        <v>61</v>
      </c>
      <c r="F7" s="22" t="s">
        <v>62</v>
      </c>
      <c r="G7" s="22" t="s">
        <v>63</v>
      </c>
      <c r="H7" s="22" t="s">
        <v>64</v>
      </c>
      <c r="I7" s="22" t="s">
        <v>65</v>
      </c>
      <c r="J7" s="22" t="s">
        <v>66</v>
      </c>
      <c r="K7" s="22" t="s">
        <v>67</v>
      </c>
      <c r="L7" s="22" t="s">
        <v>68</v>
      </c>
      <c r="M7" s="22" t="s">
        <v>69</v>
      </c>
      <c r="N7" s="22" t="s">
        <v>70</v>
      </c>
      <c r="O7" s="16" t="s">
        <v>71</v>
      </c>
    </row>
    <row r="8" spans="1:15" ht="15.6" customHeight="1" x14ac:dyDescent="0.3">
      <c r="A8" s="30"/>
      <c r="B8" s="30"/>
      <c r="C8" s="30"/>
      <c r="D8" s="30"/>
      <c r="E8" s="30"/>
      <c r="F8" s="23"/>
      <c r="G8" s="23"/>
      <c r="H8" s="23"/>
      <c r="I8" s="23"/>
      <c r="J8" s="23"/>
      <c r="K8" s="23"/>
      <c r="L8" s="23"/>
      <c r="M8" s="23"/>
      <c r="N8" s="23"/>
      <c r="O8" s="17" t="s">
        <v>72</v>
      </c>
    </row>
    <row r="9" spans="1:15" ht="15.6" customHeight="1" x14ac:dyDescent="0.3">
      <c r="A9" s="30"/>
      <c r="B9" s="30"/>
      <c r="C9" s="30"/>
      <c r="D9" s="30"/>
      <c r="E9" s="30"/>
      <c r="F9" s="15" t="s">
        <v>73</v>
      </c>
      <c r="G9" s="18">
        <v>45903</v>
      </c>
      <c r="H9" s="19" t="s">
        <v>74</v>
      </c>
      <c r="I9" s="20">
        <v>-39000000</v>
      </c>
      <c r="J9" s="21">
        <v>0</v>
      </c>
      <c r="K9" s="21">
        <v>0</v>
      </c>
      <c r="L9" s="21">
        <v>0</v>
      </c>
      <c r="M9" s="21">
        <v>0</v>
      </c>
      <c r="N9" s="21">
        <v>0</v>
      </c>
      <c r="O9" s="20">
        <v>-39000000</v>
      </c>
    </row>
    <row r="10" spans="1:15" ht="15.6" customHeight="1" x14ac:dyDescent="0.3">
      <c r="A10" s="30"/>
      <c r="B10" s="30"/>
      <c r="C10" s="30"/>
      <c r="D10" s="30"/>
      <c r="E10" s="30"/>
      <c r="F10" s="15" t="s">
        <v>75</v>
      </c>
      <c r="G10" s="18">
        <v>45903</v>
      </c>
      <c r="H10" s="19" t="s">
        <v>76</v>
      </c>
      <c r="I10" s="20">
        <v>10000000</v>
      </c>
      <c r="J10" s="21">
        <v>0</v>
      </c>
      <c r="K10" s="21">
        <v>0</v>
      </c>
      <c r="L10" s="21">
        <v>0</v>
      </c>
      <c r="M10" s="21">
        <v>0</v>
      </c>
      <c r="N10" s="21">
        <v>0</v>
      </c>
      <c r="O10" s="20">
        <v>10000000</v>
      </c>
    </row>
    <row r="11" spans="1:15" ht="15.6" customHeight="1" x14ac:dyDescent="0.3">
      <c r="A11" s="30"/>
      <c r="B11" s="30"/>
      <c r="C11" s="30"/>
      <c r="D11" s="30"/>
      <c r="E11" s="30"/>
      <c r="F11" s="15" t="s">
        <v>77</v>
      </c>
      <c r="G11" s="18">
        <v>45903</v>
      </c>
      <c r="H11" s="19" t="s">
        <v>78</v>
      </c>
      <c r="I11" s="20">
        <v>39000000</v>
      </c>
      <c r="J11" s="21">
        <v>0</v>
      </c>
      <c r="K11" s="21">
        <v>0</v>
      </c>
      <c r="L11" s="21">
        <v>0</v>
      </c>
      <c r="M11" s="21">
        <v>0</v>
      </c>
      <c r="N11" s="21">
        <v>0</v>
      </c>
      <c r="O11" s="20">
        <v>39000000</v>
      </c>
    </row>
    <row r="12" spans="1:15" ht="15.6" customHeight="1" x14ac:dyDescent="0.3">
      <c r="A12" s="30"/>
      <c r="B12" s="30"/>
      <c r="C12" s="30"/>
      <c r="D12" s="30"/>
      <c r="E12" s="30"/>
      <c r="F12" s="15" t="s">
        <v>79</v>
      </c>
      <c r="G12" s="18">
        <v>45903</v>
      </c>
      <c r="H12" s="19" t="s">
        <v>80</v>
      </c>
      <c r="I12" s="20">
        <v>70000000</v>
      </c>
      <c r="J12" s="21">
        <v>0</v>
      </c>
      <c r="K12" s="21">
        <v>0</v>
      </c>
      <c r="L12" s="21">
        <v>0</v>
      </c>
      <c r="M12" s="21">
        <v>0</v>
      </c>
      <c r="N12" s="21">
        <v>0</v>
      </c>
      <c r="O12" s="20">
        <v>70000000</v>
      </c>
    </row>
    <row r="13" spans="1:15" ht="15.6" customHeight="1" x14ac:dyDescent="0.3">
      <c r="A13" s="30"/>
      <c r="B13" s="30"/>
      <c r="C13" s="30"/>
      <c r="D13" s="30"/>
      <c r="E13" s="30"/>
      <c r="F13" s="15" t="s">
        <v>81</v>
      </c>
      <c r="G13" s="18">
        <v>45903</v>
      </c>
      <c r="H13" s="19" t="s">
        <v>82</v>
      </c>
      <c r="I13" s="20">
        <v>-10000000</v>
      </c>
      <c r="J13" s="21">
        <v>0</v>
      </c>
      <c r="K13" s="21">
        <v>0</v>
      </c>
      <c r="L13" s="21">
        <v>0</v>
      </c>
      <c r="M13" s="21">
        <v>0</v>
      </c>
      <c r="N13" s="21">
        <v>0</v>
      </c>
      <c r="O13" s="20">
        <v>-10000000</v>
      </c>
    </row>
    <row r="14" spans="1:15" ht="15.6" customHeight="1" x14ac:dyDescent="0.3">
      <c r="A14" s="30"/>
      <c r="B14" s="30"/>
      <c r="C14" s="30"/>
      <c r="D14" s="30"/>
      <c r="E14" s="30"/>
      <c r="F14" s="15" t="s">
        <v>83</v>
      </c>
      <c r="G14" s="18">
        <v>45903</v>
      </c>
      <c r="H14" s="19" t="s">
        <v>84</v>
      </c>
      <c r="I14" s="20">
        <v>-70000000</v>
      </c>
      <c r="J14" s="21">
        <v>0</v>
      </c>
      <c r="K14" s="21">
        <v>0</v>
      </c>
      <c r="L14" s="21">
        <v>0</v>
      </c>
      <c r="M14" s="21">
        <v>0</v>
      </c>
      <c r="N14" s="21">
        <v>0</v>
      </c>
      <c r="O14" s="20">
        <v>-70000000</v>
      </c>
    </row>
    <row r="15" spans="1:15" ht="15.6" customHeight="1" x14ac:dyDescent="0.3">
      <c r="A15" s="30"/>
      <c r="B15" s="30"/>
      <c r="C15" s="30"/>
      <c r="D15" s="30"/>
      <c r="E15" s="30"/>
      <c r="F15" s="15" t="s">
        <v>85</v>
      </c>
      <c r="G15" s="18">
        <v>45918</v>
      </c>
      <c r="H15" s="19" t="s">
        <v>86</v>
      </c>
      <c r="I15" s="20">
        <v>-3400824</v>
      </c>
      <c r="J15" s="20">
        <v>-646156.56000000006</v>
      </c>
      <c r="K15" s="21">
        <v>0</v>
      </c>
      <c r="L15" s="21">
        <v>0</v>
      </c>
      <c r="M15" s="21">
        <v>0</v>
      </c>
      <c r="N15" s="21">
        <v>0</v>
      </c>
      <c r="O15" s="20">
        <v>-4046980.56</v>
      </c>
    </row>
    <row r="16" spans="1:15" ht="15.6" customHeight="1" x14ac:dyDescent="0.3">
      <c r="A16" s="30"/>
      <c r="B16" s="30"/>
      <c r="C16" s="30"/>
      <c r="D16" s="30"/>
      <c r="E16" s="30"/>
      <c r="F16" s="15" t="s">
        <v>87</v>
      </c>
      <c r="G16" s="18">
        <v>45895</v>
      </c>
      <c r="H16" s="19" t="s">
        <v>86</v>
      </c>
      <c r="I16" s="20">
        <v>712793772.32000005</v>
      </c>
      <c r="J16" s="20">
        <v>135430816.74000001</v>
      </c>
      <c r="K16" s="21">
        <v>0</v>
      </c>
      <c r="L16" s="21">
        <v>0</v>
      </c>
      <c r="M16" s="21">
        <v>0</v>
      </c>
      <c r="N16" s="21">
        <v>0</v>
      </c>
      <c r="O16" s="20">
        <v>848224589.05999994</v>
      </c>
    </row>
    <row r="17" spans="1:15" ht="15.6" customHeight="1" x14ac:dyDescent="0.3">
      <c r="A17" s="23"/>
      <c r="B17" s="23"/>
      <c r="C17" s="23"/>
      <c r="D17" s="23"/>
      <c r="E17" s="23"/>
      <c r="F17" s="15" t="s">
        <v>88</v>
      </c>
      <c r="G17" s="18">
        <v>45895</v>
      </c>
      <c r="H17" s="19" t="s">
        <v>89</v>
      </c>
      <c r="I17" s="21">
        <v>0</v>
      </c>
      <c r="J17" s="21">
        <v>0</v>
      </c>
      <c r="K17" s="21">
        <v>0</v>
      </c>
      <c r="L17" s="21">
        <v>0</v>
      </c>
      <c r="M17" s="20">
        <v>-14255875.449999999</v>
      </c>
      <c r="N17" s="21">
        <v>0</v>
      </c>
      <c r="O17" s="20">
        <v>-14255875.449999999</v>
      </c>
    </row>
    <row r="21" spans="1:15" ht="15.6" customHeight="1" x14ac:dyDescent="0.3">
      <c r="A21" s="24" t="s">
        <v>90</v>
      </c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</sheetData>
  <mergeCells count="16">
    <mergeCell ref="N7:N8"/>
    <mergeCell ref="J7:J8"/>
    <mergeCell ref="A21:O21"/>
    <mergeCell ref="F6:O6"/>
    <mergeCell ref="M7:M8"/>
    <mergeCell ref="C7:C17"/>
    <mergeCell ref="A7:A17"/>
    <mergeCell ref="B7:B17"/>
    <mergeCell ref="E7:E17"/>
    <mergeCell ref="G7:G8"/>
    <mergeCell ref="K7:K8"/>
    <mergeCell ref="H7:H8"/>
    <mergeCell ref="F7:F8"/>
    <mergeCell ref="L7:L8"/>
    <mergeCell ref="I7:I8"/>
    <mergeCell ref="D7:D17"/>
  </mergeCells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89db4e91-bad5-4fd0-9ca4-c06485916e3a}" enabled="1" method="Standard" siteId="{f66fae02-5d36-495b-bfe0-78a6ff9f8e6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Template</vt:lpstr>
      <vt:lpstr>Remittance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Morales, Jose-Ricardo</cp:lastModifiedBy>
  <dcterms:created xsi:type="dcterms:W3CDTF">2025-09-23T21:48:32Z</dcterms:created>
  <dcterms:modified xsi:type="dcterms:W3CDTF">2025-09-24T15:55:58Z</dcterms:modified>
</cp:coreProperties>
</file>