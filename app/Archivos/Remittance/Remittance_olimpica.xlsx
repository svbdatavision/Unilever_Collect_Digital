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202300"/>
  <xr:revisionPtr revIDLastSave="0" documentId="13_ncr:1_{D574D7BF-ACB5-4FCA-8715-98A718476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9e10421-e96b-4da8-a644-f04271a" sheetId="1" r:id="rId1"/>
    <sheet name="1" sheetId="2" state="hidden" r:id="rId2"/>
  </sheets>
  <externalReferences>
    <externalReference r:id="rId3"/>
  </externalReferences>
  <definedNames>
    <definedName name="_xlnm._FilterDatabase" localSheetId="1" hidden="1">'1'!$A$1:$AC$118</definedName>
    <definedName name="JR_PAGE_ANCHOR_0_1" localSheetId="1">'1'!#REF!</definedName>
    <definedName name="JR_PAGE_ANCHOR_0_1">'d9e10421-e96b-4da8-a644-f04271a'!$A$1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7" i="2" l="1"/>
  <c r="L117" i="2" s="1"/>
  <c r="M116" i="2"/>
  <c r="L116" i="2" s="1"/>
  <c r="M114" i="2"/>
  <c r="L114" i="2" s="1"/>
  <c r="M113" i="2"/>
  <c r="L113" i="2" s="1"/>
  <c r="M111" i="2"/>
  <c r="L111" i="2" s="1"/>
  <c r="M110" i="2"/>
  <c r="L110" i="2" s="1"/>
  <c r="M108" i="2"/>
  <c r="L108" i="2" s="1"/>
  <c r="M107" i="2"/>
  <c r="L107" i="2" s="1"/>
  <c r="M105" i="2"/>
  <c r="L105" i="2" s="1"/>
  <c r="M103" i="2"/>
  <c r="L103" i="2" s="1"/>
  <c r="M102" i="2"/>
  <c r="L102" i="2" s="1"/>
  <c r="M101" i="2"/>
  <c r="L101" i="2" s="1"/>
  <c r="M100" i="2"/>
  <c r="L100" i="2" s="1"/>
  <c r="M98" i="2"/>
  <c r="L98" i="2" s="1"/>
  <c r="M97" i="2"/>
  <c r="L97" i="2" s="1"/>
  <c r="M96" i="2"/>
  <c r="L96" i="2" s="1"/>
  <c r="M93" i="2"/>
  <c r="L93" i="2" s="1"/>
  <c r="M92" i="2"/>
  <c r="L92" i="2" s="1"/>
  <c r="M90" i="2"/>
  <c r="L90" i="2" s="1"/>
  <c r="M89" i="2"/>
  <c r="L89" i="2" s="1"/>
  <c r="M87" i="2"/>
  <c r="L87" i="2" s="1"/>
  <c r="M85" i="2"/>
  <c r="L85" i="2" s="1"/>
  <c r="M83" i="2"/>
  <c r="L83" i="2" s="1"/>
  <c r="M82" i="2"/>
  <c r="L82" i="2" s="1"/>
  <c r="M81" i="2"/>
  <c r="L81" i="2" s="1"/>
  <c r="M80" i="2"/>
  <c r="L80" i="2" s="1"/>
  <c r="M79" i="2"/>
  <c r="L79" i="2" s="1"/>
  <c r="M78" i="2"/>
  <c r="L78" i="2" s="1"/>
  <c r="M77" i="2"/>
  <c r="L77" i="2" s="1"/>
  <c r="M76" i="2"/>
  <c r="L76" i="2" s="1"/>
  <c r="M75" i="2"/>
  <c r="L75" i="2" s="1"/>
  <c r="M74" i="2"/>
  <c r="L74" i="2" s="1"/>
  <c r="M73" i="2"/>
  <c r="L73" i="2" s="1"/>
  <c r="M71" i="2"/>
  <c r="L71" i="2" s="1"/>
  <c r="M70" i="2"/>
  <c r="L70" i="2" s="1"/>
  <c r="M69" i="2"/>
  <c r="L69" i="2" s="1"/>
  <c r="M68" i="2"/>
  <c r="L68" i="2" s="1"/>
  <c r="M66" i="2"/>
  <c r="L66" i="2" s="1"/>
  <c r="M64" i="2"/>
  <c r="L64" i="2" s="1"/>
  <c r="M62" i="2"/>
  <c r="L62" i="2" s="1"/>
  <c r="N120" i="2" l="1"/>
</calcChain>
</file>

<file path=xl/sharedStrings.xml><?xml version="1.0" encoding="utf-8"?>
<sst xmlns="http://schemas.openxmlformats.org/spreadsheetml/2006/main" count="4708" uniqueCount="737">
  <si>
    <t>Informe de Pagos</t>
  </si>
  <si>
    <t>Información General</t>
  </si>
  <si>
    <t>Socio Comercial:</t>
  </si>
  <si>
    <t xml:space="preserve">SUPERTIENDAS Y DROGUERIAS </t>
  </si>
  <si>
    <t>N° Aviso:</t>
  </si>
  <si>
    <t>00594200</t>
  </si>
  <si>
    <t>Fecha Aviso:</t>
  </si>
  <si>
    <t>22-09-2025</t>
  </si>
  <si>
    <t>Periodo Facturación:</t>
  </si>
  <si>
    <t>Beneficiario 2:</t>
  </si>
  <si>
    <t xml:space="preserve"> Unilever Andina S.A</t>
  </si>
  <si>
    <t>Información de Pago</t>
  </si>
  <si>
    <t>Beneficiario:</t>
  </si>
  <si>
    <t>Nit:</t>
  </si>
  <si>
    <t>Código Interno Proveedor:</t>
  </si>
  <si>
    <t>0000100576</t>
  </si>
  <si>
    <t>Identificación Beneficiario:</t>
  </si>
  <si>
    <t>Sucursal:</t>
  </si>
  <si>
    <t>Orden de Pago:</t>
  </si>
  <si>
    <t>PK003702794638</t>
  </si>
  <si>
    <t>Medio de Pago:</t>
  </si>
  <si>
    <t>Nro Cheque:</t>
  </si>
  <si>
    <t>3702794638</t>
  </si>
  <si>
    <t>Fecha Tasa Cambio:</t>
  </si>
  <si>
    <t>Ciudad de Pago:</t>
  </si>
  <si>
    <t>Fecha Pago:</t>
  </si>
  <si>
    <t>Moneda de Pago:</t>
  </si>
  <si>
    <t>Tasa Cambio</t>
  </si>
  <si>
    <t>Moneda de Facturación:</t>
  </si>
  <si>
    <t>Canal de Pago:</t>
  </si>
  <si>
    <t>Banco Receptor:</t>
  </si>
  <si>
    <t>Banco Emisor:</t>
  </si>
  <si>
    <t>Código Sucursal Receptor:</t>
  </si>
  <si>
    <t>Código Sucursal Emisor:</t>
  </si>
  <si>
    <t>N° Cuenta Receptor:</t>
  </si>
  <si>
    <t>N° Cuenta Emisor:</t>
  </si>
  <si>
    <t>Tipo de Cuenta Receptor:</t>
  </si>
  <si>
    <t>Tipo Cuenta Emisor:</t>
  </si>
  <si>
    <t>Titular Cuenta Receptor:</t>
  </si>
  <si>
    <t>Información del documento</t>
  </si>
  <si>
    <t>Impuestos</t>
  </si>
  <si>
    <t>Información de Ajustes</t>
  </si>
  <si>
    <t>Código de Documento</t>
  </si>
  <si>
    <t>Documento</t>
  </si>
  <si>
    <t>No. Interno</t>
  </si>
  <si>
    <t>No. Doc</t>
  </si>
  <si>
    <t>Fecha Doc</t>
  </si>
  <si>
    <t>Cod Ean Sitio Entrega</t>
  </si>
  <si>
    <t>Lugar Entrega</t>
  </si>
  <si>
    <t>Ref. Pedido</t>
  </si>
  <si>
    <t>Ref. Factura</t>
  </si>
  <si>
    <t>Ref. Aviso Recibo</t>
  </si>
  <si>
    <t>Ref. Aviso Devolución</t>
  </si>
  <si>
    <t>Ref. Dossier</t>
  </si>
  <si>
    <t>Ref. Numero de Folio</t>
  </si>
  <si>
    <t>Total a Pagar</t>
  </si>
  <si>
    <t>Valor antes de ajuste</t>
  </si>
  <si>
    <t>Ajustes</t>
  </si>
  <si>
    <t>Iva</t>
  </si>
  <si>
    <t>Descuentos</t>
  </si>
  <si>
    <t>Vlr Hort</t>
  </si>
  <si>
    <t>Valor Documento</t>
  </si>
  <si>
    <t>Rete Fuente</t>
  </si>
  <si>
    <t>Rete Iva</t>
  </si>
  <si>
    <t>Rete Ica</t>
  </si>
  <si>
    <t>Rte. CREE</t>
  </si>
  <si>
    <t>Cod Ajustes</t>
  </si>
  <si>
    <t>Descripcion Ajustes</t>
  </si>
  <si>
    <t>Valor Ajustado</t>
  </si>
  <si>
    <t>Observaciones</t>
  </si>
  <si>
    <t>381</t>
  </si>
  <si>
    <t>2103768180</t>
  </si>
  <si>
    <t>0085492795001</t>
  </si>
  <si>
    <t>05-09-2025</t>
  </si>
  <si>
    <t>0</t>
  </si>
  <si>
    <t>-96.747,00</t>
  </si>
  <si>
    <t>0,00</t>
  </si>
  <si>
    <t>2103768181</t>
  </si>
  <si>
    <t>0085492796001</t>
  </si>
  <si>
    <t>-400.617,00</t>
  </si>
  <si>
    <t>2103768182</t>
  </si>
  <si>
    <t>0085492797001</t>
  </si>
  <si>
    <t>-773.974,00</t>
  </si>
  <si>
    <t>2103768183</t>
  </si>
  <si>
    <t>0085492798001</t>
  </si>
  <si>
    <t>-1.762.714,00</t>
  </si>
  <si>
    <t>2103768184</t>
  </si>
  <si>
    <t>0085492799001</t>
  </si>
  <si>
    <t>-2.515.417,00</t>
  </si>
  <si>
    <t>2103768185</t>
  </si>
  <si>
    <t>0085492800001</t>
  </si>
  <si>
    <t>-2.902.404,00</t>
  </si>
  <si>
    <t>2103768186</t>
  </si>
  <si>
    <t>0085492801001</t>
  </si>
  <si>
    <t>-4.125.942,00</t>
  </si>
  <si>
    <t>2103768187</t>
  </si>
  <si>
    <t>0085492802001</t>
  </si>
  <si>
    <t>-5.220.427,00</t>
  </si>
  <si>
    <t>2103768188</t>
  </si>
  <si>
    <t>0085492803001</t>
  </si>
  <si>
    <t>-5.281.206,00</t>
  </si>
  <si>
    <t>2103768189</t>
  </si>
  <si>
    <t>0085492804001</t>
  </si>
  <si>
    <t>-8.352.683,00</t>
  </si>
  <si>
    <t>2103768190</t>
  </si>
  <si>
    <t>0085492805001</t>
  </si>
  <si>
    <t>-13.523.004,00</t>
  </si>
  <si>
    <t>2103768191</t>
  </si>
  <si>
    <t>0085492806001</t>
  </si>
  <si>
    <t>-18.979.334,00</t>
  </si>
  <si>
    <t>2103768192</t>
  </si>
  <si>
    <t>0085492807001</t>
  </si>
  <si>
    <t>-22.969.880,00</t>
  </si>
  <si>
    <t>2103768193</t>
  </si>
  <si>
    <t>0085492808001</t>
  </si>
  <si>
    <t>-25.545.390,00</t>
  </si>
  <si>
    <t>2103768194</t>
  </si>
  <si>
    <t>0085492809001</t>
  </si>
  <si>
    <t>-66.065.664,00</t>
  </si>
  <si>
    <t>2103768195</t>
  </si>
  <si>
    <t>0085492810001</t>
  </si>
  <si>
    <t>-80.600.110,00</t>
  </si>
  <si>
    <t>2103768196</t>
  </si>
  <si>
    <t>0085492811001</t>
  </si>
  <si>
    <t>-111.430.753,00</t>
  </si>
  <si>
    <t>2103496460</t>
  </si>
  <si>
    <t>0085494352001</t>
  </si>
  <si>
    <t>08-09-2025</t>
  </si>
  <si>
    <t>-39.949.641,00</t>
  </si>
  <si>
    <t>2102299017</t>
  </si>
  <si>
    <t>0085494999001</t>
  </si>
  <si>
    <t>09-09-2025</t>
  </si>
  <si>
    <t>-10.000.000,00</t>
  </si>
  <si>
    <t>2102299018</t>
  </si>
  <si>
    <t>0085495000001</t>
  </si>
  <si>
    <t>-13.860.888,00</t>
  </si>
  <si>
    <t>2102299019</t>
  </si>
  <si>
    <t>0085495001001</t>
  </si>
  <si>
    <t>-25.898.273,00</t>
  </si>
  <si>
    <t>2102299020</t>
  </si>
  <si>
    <t>0085495002001</t>
  </si>
  <si>
    <t>-386.601.164,00</t>
  </si>
  <si>
    <t>2103735356</t>
  </si>
  <si>
    <t>0085495438001</t>
  </si>
  <si>
    <t>10-09-2025</t>
  </si>
  <si>
    <t>-26.648.820,00</t>
  </si>
  <si>
    <t>2103735357</t>
  </si>
  <si>
    <t>0085495439001</t>
  </si>
  <si>
    <t>-20.648.820,00</t>
  </si>
  <si>
    <t>2103729477</t>
  </si>
  <si>
    <t>0085495673001</t>
  </si>
  <si>
    <t>18-09-2025</t>
  </si>
  <si>
    <t>-13.189.484,00</t>
  </si>
  <si>
    <t>5213875953</t>
  </si>
  <si>
    <t>4633873108001</t>
  </si>
  <si>
    <t>04-09-2025</t>
  </si>
  <si>
    <t>7701008002302</t>
  </si>
  <si>
    <t>4633873108</t>
  </si>
  <si>
    <t>-57.532,00</t>
  </si>
  <si>
    <t>-48.346,00</t>
  </si>
  <si>
    <t>-9.186,00</t>
  </si>
  <si>
    <t>5213886883</t>
  </si>
  <si>
    <t>4633966060001</t>
  </si>
  <si>
    <t>7701008100237</t>
  </si>
  <si>
    <t>4633966060</t>
  </si>
  <si>
    <t>-7.083,00</t>
  </si>
  <si>
    <t>-5.952,00</t>
  </si>
  <si>
    <t>-1.131,00</t>
  </si>
  <si>
    <t>5213831781</t>
  </si>
  <si>
    <t>4634014171001</t>
  </si>
  <si>
    <t>06-09-2025</t>
  </si>
  <si>
    <t>7701008006096</t>
  </si>
  <si>
    <t>4634014171</t>
  </si>
  <si>
    <t>-16.320,00</t>
  </si>
  <si>
    <t>-13.714,00</t>
  </si>
  <si>
    <t>-2.606,00</t>
  </si>
  <si>
    <t>5213788847</t>
  </si>
  <si>
    <t>4634285011001</t>
  </si>
  <si>
    <t>13-09-2025</t>
  </si>
  <si>
    <t>7701008000889</t>
  </si>
  <si>
    <t>4634285011</t>
  </si>
  <si>
    <t>-106.845,00</t>
  </si>
  <si>
    <t>-89.786,00</t>
  </si>
  <si>
    <t>-17.059,00</t>
  </si>
  <si>
    <t>5213896944</t>
  </si>
  <si>
    <t>4634301618001</t>
  </si>
  <si>
    <t>15-09-2025</t>
  </si>
  <si>
    <t>7701008002111</t>
  </si>
  <si>
    <t>4634301618</t>
  </si>
  <si>
    <t>-16.809,00</t>
  </si>
  <si>
    <t>-14.125,00</t>
  </si>
  <si>
    <t>-2.684,00</t>
  </si>
  <si>
    <t>5213896945</t>
  </si>
  <si>
    <t>4634328866001</t>
  </si>
  <si>
    <t>7701008005808</t>
  </si>
  <si>
    <t>4634328866</t>
  </si>
  <si>
    <t>-14.166,00</t>
  </si>
  <si>
    <t>-11.904,00</t>
  </si>
  <si>
    <t>-2.262,00</t>
  </si>
  <si>
    <t>5213800563</t>
  </si>
  <si>
    <t>4634412628001</t>
  </si>
  <si>
    <t>7701008109001</t>
  </si>
  <si>
    <t>4634412628</t>
  </si>
  <si>
    <t>5213709573</t>
  </si>
  <si>
    <t>4634459674001</t>
  </si>
  <si>
    <t>4634459674</t>
  </si>
  <si>
    <t>-94.983,00</t>
  </si>
  <si>
    <t>-79.818,00</t>
  </si>
  <si>
    <t>-15.165,00</t>
  </si>
  <si>
    <t>5213779256</t>
  </si>
  <si>
    <t>4634483025001</t>
  </si>
  <si>
    <t>7701008001299</t>
  </si>
  <si>
    <t>4634483025</t>
  </si>
  <si>
    <t>-31.860,00</t>
  </si>
  <si>
    <t>-26.773,00</t>
  </si>
  <si>
    <t>-5.087,00</t>
  </si>
  <si>
    <t>5213709574</t>
  </si>
  <si>
    <t>4634524881001</t>
  </si>
  <si>
    <t>7701008005709</t>
  </si>
  <si>
    <t>4634524881</t>
  </si>
  <si>
    <t>5213709575</t>
  </si>
  <si>
    <t>4634711975001</t>
  </si>
  <si>
    <t>7701008005495</t>
  </si>
  <si>
    <t>4634711975</t>
  </si>
  <si>
    <t>-172.715,00</t>
  </si>
  <si>
    <t>-145.139,00</t>
  </si>
  <si>
    <t>-27.576,00</t>
  </si>
  <si>
    <t>5213900952</t>
  </si>
  <si>
    <t>4634715708001</t>
  </si>
  <si>
    <t>17-09-2025</t>
  </si>
  <si>
    <t>7701008009455</t>
  </si>
  <si>
    <t>4634715708</t>
  </si>
  <si>
    <t>-8.219,00</t>
  </si>
  <si>
    <t>-6.907,00</t>
  </si>
  <si>
    <t>-1.312,00</t>
  </si>
  <si>
    <t>5213383105</t>
  </si>
  <si>
    <t>4634725102001</t>
  </si>
  <si>
    <t>16-09-2025</t>
  </si>
  <si>
    <t>7701008104051</t>
  </si>
  <si>
    <t>4634725102</t>
  </si>
  <si>
    <t>-8.604,00</t>
  </si>
  <si>
    <t>-7.230,00</t>
  </si>
  <si>
    <t>-1.374,00</t>
  </si>
  <si>
    <t>5213709576</t>
  </si>
  <si>
    <t>4634762535001</t>
  </si>
  <si>
    <t>7701008006942</t>
  </si>
  <si>
    <t>4634762535</t>
  </si>
  <si>
    <t>-32.875,00</t>
  </si>
  <si>
    <t>-27.626,00</t>
  </si>
  <si>
    <t>-5.249,00</t>
  </si>
  <si>
    <t>2103779876</t>
  </si>
  <si>
    <t>9801658009001</t>
  </si>
  <si>
    <t>-120.460.769,00</t>
  </si>
  <si>
    <t>-104.748.495,00</t>
  </si>
  <si>
    <t>-19.902.214,00</t>
  </si>
  <si>
    <t>4.189.940,00</t>
  </si>
  <si>
    <t>2103779877</t>
  </si>
  <si>
    <t>9801658010001</t>
  </si>
  <si>
    <t>-6.023.039,00</t>
  </si>
  <si>
    <t>-5.237.425,00</t>
  </si>
  <si>
    <t>-995.111,00</t>
  </si>
  <si>
    <t>209.497,00</t>
  </si>
  <si>
    <t>2103779878</t>
  </si>
  <si>
    <t>9801658011001</t>
  </si>
  <si>
    <t>-605.778.094,00</t>
  </si>
  <si>
    <t>-526.763.560,00</t>
  </si>
  <si>
    <t>-100.085.076,00</t>
  </si>
  <si>
    <t>21.070.542,00</t>
  </si>
  <si>
    <t>2103602335</t>
  </si>
  <si>
    <t>9801658012001</t>
  </si>
  <si>
    <t>-25.325.171,00</t>
  </si>
  <si>
    <t>-22.021.888,00</t>
  </si>
  <si>
    <t>-4.184.159,00</t>
  </si>
  <si>
    <t>880.876,00</t>
  </si>
  <si>
    <t>2103602336</t>
  </si>
  <si>
    <t>9801658013001</t>
  </si>
  <si>
    <t>-92.049.770,00</t>
  </si>
  <si>
    <t>-80.043.278,00</t>
  </si>
  <si>
    <t>-15.208.223,00</t>
  </si>
  <si>
    <t>3.201.731,00</t>
  </si>
  <si>
    <t>2103643425</t>
  </si>
  <si>
    <t>9801658014001</t>
  </si>
  <si>
    <t>-4.791.377,00</t>
  </si>
  <si>
    <t>-4.166.415,00</t>
  </si>
  <si>
    <t>-791.619,00</t>
  </si>
  <si>
    <t>166.657,00</t>
  </si>
  <si>
    <t>2103643426</t>
  </si>
  <si>
    <t>9801658015001</t>
  </si>
  <si>
    <t>-8.566.930,00</t>
  </si>
  <si>
    <t>-7.449.504,00</t>
  </si>
  <si>
    <t>-1.415.406,00</t>
  </si>
  <si>
    <t>297.980,00</t>
  </si>
  <si>
    <t>2103609409</t>
  </si>
  <si>
    <t>9801658016001</t>
  </si>
  <si>
    <t>-2.225.177,00</t>
  </si>
  <si>
    <t>-1.934.936,00</t>
  </si>
  <si>
    <t>-367.638,00</t>
  </si>
  <si>
    <t>77.397,00</t>
  </si>
  <si>
    <t>2103657683</t>
  </si>
  <si>
    <t>9801658947001</t>
  </si>
  <si>
    <t>-20.759.225,00</t>
  </si>
  <si>
    <t>-18.051.500,00</t>
  </si>
  <si>
    <t>-3.429.785,00</t>
  </si>
  <si>
    <t>722.060,00</t>
  </si>
  <si>
    <t>2103757185</t>
  </si>
  <si>
    <t>9801659108001</t>
  </si>
  <si>
    <t>-1.166.796,00</t>
  </si>
  <si>
    <t>-1.001.542,00</t>
  </si>
  <si>
    <t>-190.293,00</t>
  </si>
  <si>
    <t>25.039,00</t>
  </si>
  <si>
    <t>2103716028</t>
  </si>
  <si>
    <t>9801659109001</t>
  </si>
  <si>
    <t>2103716029</t>
  </si>
  <si>
    <t>9801659110001</t>
  </si>
  <si>
    <t>-3.043.171,00</t>
  </si>
  <si>
    <t>-2.612.164,00</t>
  </si>
  <si>
    <t>-496.311,00</t>
  </si>
  <si>
    <t>65.304,00</t>
  </si>
  <si>
    <t>2103716030</t>
  </si>
  <si>
    <t>9801659111001</t>
  </si>
  <si>
    <t>-11.536.134,00</t>
  </si>
  <si>
    <t>-9.902.261,00</t>
  </si>
  <si>
    <t>-1.881.430,00</t>
  </si>
  <si>
    <t>247.557,00</t>
  </si>
  <si>
    <t>2103631338</t>
  </si>
  <si>
    <t>9801659112001</t>
  </si>
  <si>
    <t>-18.361.681,00</t>
  </si>
  <si>
    <t>-15.761.099,00</t>
  </si>
  <si>
    <t>-2.994.609,00</t>
  </si>
  <si>
    <t>394.027,00</t>
  </si>
  <si>
    <t>2103631339</t>
  </si>
  <si>
    <t>9801659113001</t>
  </si>
  <si>
    <t>-19.461.753,00</t>
  </si>
  <si>
    <t>-16.705.367,00</t>
  </si>
  <si>
    <t>-3.174.020,00</t>
  </si>
  <si>
    <t>417.634,00</t>
  </si>
  <si>
    <t>2103772894</t>
  </si>
  <si>
    <t>9801659114001</t>
  </si>
  <si>
    <t>-23.110.830,00</t>
  </si>
  <si>
    <t>-19.837.623,00</t>
  </si>
  <si>
    <t>-3.769.148,00</t>
  </si>
  <si>
    <t>495.941,00</t>
  </si>
  <si>
    <t>2103795720</t>
  </si>
  <si>
    <t>9801659115001</t>
  </si>
  <si>
    <t>-49.258.559,00</t>
  </si>
  <si>
    <t>-42.282.025,00</t>
  </si>
  <si>
    <t>-8.033.585,00</t>
  </si>
  <si>
    <t>1.057.051,00</t>
  </si>
  <si>
    <t>2103795721</t>
  </si>
  <si>
    <t>9801659116001</t>
  </si>
  <si>
    <t>-56.955.208,00</t>
  </si>
  <si>
    <t>-48.888.591,00</t>
  </si>
  <si>
    <t>-9.288.832,00</t>
  </si>
  <si>
    <t>1.222.215,00</t>
  </si>
  <si>
    <t>2103735340</t>
  </si>
  <si>
    <t>9801660507001</t>
  </si>
  <si>
    <t>-17.029.033,00</t>
  </si>
  <si>
    <t>-14.617.196,00</t>
  </si>
  <si>
    <t>-2.777.267,00</t>
  </si>
  <si>
    <t>365.430,00</t>
  </si>
  <si>
    <t>2102424076</t>
  </si>
  <si>
    <t>9801660508001</t>
  </si>
  <si>
    <t>-68.243.628,00</t>
  </si>
  <si>
    <t>-58.578.222,00</t>
  </si>
  <si>
    <t>-11.129.862,00</t>
  </si>
  <si>
    <t>1.464.456,00</t>
  </si>
  <si>
    <t>5314024120</t>
  </si>
  <si>
    <t>PMP1260049001</t>
  </si>
  <si>
    <t>08-07-2025</t>
  </si>
  <si>
    <t>4632681286</t>
  </si>
  <si>
    <t>-200,00</t>
  </si>
  <si>
    <t>-168,00</t>
  </si>
  <si>
    <t>-32,00</t>
  </si>
  <si>
    <t>380</t>
  </si>
  <si>
    <t>5133644266</t>
  </si>
  <si>
    <t>PMP1260049002</t>
  </si>
  <si>
    <t>3.884.074,00</t>
  </si>
  <si>
    <t>3.263.928,00</t>
  </si>
  <si>
    <t>620.146,00</t>
  </si>
  <si>
    <t>5313863782</t>
  </si>
  <si>
    <t>PMP1260050001</t>
  </si>
  <si>
    <t>4632681288</t>
  </si>
  <si>
    <t>-3.352.475,00</t>
  </si>
  <si>
    <t>-2.817.206,00</t>
  </si>
  <si>
    <t>-535.269,00</t>
  </si>
  <si>
    <t>5132447746</t>
  </si>
  <si>
    <t>PMP1260050002</t>
  </si>
  <si>
    <t>79.579.682,00</t>
  </si>
  <si>
    <t>68.624.866,00</t>
  </si>
  <si>
    <t>10.954.816,00</t>
  </si>
  <si>
    <t>5314021030</t>
  </si>
  <si>
    <t>PMP1260051001</t>
  </si>
  <si>
    <t>4632682889</t>
  </si>
  <si>
    <t>-90,00</t>
  </si>
  <si>
    <t>-76,00</t>
  </si>
  <si>
    <t>-14,00</t>
  </si>
  <si>
    <t>5133552630</t>
  </si>
  <si>
    <t>PMP1260051002</t>
  </si>
  <si>
    <t>5.751.231,00</t>
  </si>
  <si>
    <t>4.832.968,00</t>
  </si>
  <si>
    <t>918.263,00</t>
  </si>
  <si>
    <t>5314043835</t>
  </si>
  <si>
    <t>PMP1260052001</t>
  </si>
  <si>
    <t>4632682890</t>
  </si>
  <si>
    <t>-2.411.214,00</t>
  </si>
  <si>
    <t>-2.026.230,00</t>
  </si>
  <si>
    <t>-384.984,00</t>
  </si>
  <si>
    <t>5133473368</t>
  </si>
  <si>
    <t>PMP1260052002</t>
  </si>
  <si>
    <t>40.580.734,00</t>
  </si>
  <si>
    <t>34.978.331,00</t>
  </si>
  <si>
    <t>5.602.403,00</t>
  </si>
  <si>
    <t>5133640233</t>
  </si>
  <si>
    <t>PMP1260358001</t>
  </si>
  <si>
    <t>09-07-2025</t>
  </si>
  <si>
    <t>4632681282</t>
  </si>
  <si>
    <t>19.382.530,00</t>
  </si>
  <si>
    <t>16.287.840,00</t>
  </si>
  <si>
    <t>3.094.690,00</t>
  </si>
  <si>
    <t>5132447747</t>
  </si>
  <si>
    <t>PMP1260359001</t>
  </si>
  <si>
    <t>4632681283</t>
  </si>
  <si>
    <t>127.722.351,00</t>
  </si>
  <si>
    <t>107.329.706,00</t>
  </si>
  <si>
    <t>20.392.645,00</t>
  </si>
  <si>
    <t>5133588378</t>
  </si>
  <si>
    <t>PMP1260360001</t>
  </si>
  <si>
    <t>4632681289</t>
  </si>
  <si>
    <t>169.197.998,00</t>
  </si>
  <si>
    <t>142.183.192,00</t>
  </si>
  <si>
    <t>27.014.806,00</t>
  </si>
  <si>
    <t>5313673214</t>
  </si>
  <si>
    <t>PMP1260361001</t>
  </si>
  <si>
    <t>-555.853,00</t>
  </si>
  <si>
    <t>-467.103,00</t>
  </si>
  <si>
    <t>-88.750,00</t>
  </si>
  <si>
    <t>5133697751</t>
  </si>
  <si>
    <t>PMP1260361002</t>
  </si>
  <si>
    <t>466.448.700,00</t>
  </si>
  <si>
    <t>391.973.697,00</t>
  </si>
  <si>
    <t>74.475.003,00</t>
  </si>
  <si>
    <t>5133554689</t>
  </si>
  <si>
    <t>PMP1260362001</t>
  </si>
  <si>
    <t>4632681281</t>
  </si>
  <si>
    <t>695.950,00</t>
  </si>
  <si>
    <t>584.832,00</t>
  </si>
  <si>
    <t>111.118,00</t>
  </si>
  <si>
    <t>5133388658</t>
  </si>
  <si>
    <t>PMP1260363001</t>
  </si>
  <si>
    <t>4632681284</t>
  </si>
  <si>
    <t>6.450.633,00</t>
  </si>
  <si>
    <t>5.420.700,00</t>
  </si>
  <si>
    <t>1.029.933,00</t>
  </si>
  <si>
    <t>5133650079</t>
  </si>
  <si>
    <t>PMP1260540001</t>
  </si>
  <si>
    <t>4632682885</t>
  </si>
  <si>
    <t>12.941.364,00</t>
  </si>
  <si>
    <t>10.875.096,00</t>
  </si>
  <si>
    <t>2.066.268,00</t>
  </si>
  <si>
    <t>5133687776</t>
  </si>
  <si>
    <t>PMP1260541001</t>
  </si>
  <si>
    <t>4632682886</t>
  </si>
  <si>
    <t>41.046.945,00</t>
  </si>
  <si>
    <t>34.493.231,00</t>
  </si>
  <si>
    <t>6.553.714,00</t>
  </si>
  <si>
    <t>5133511747</t>
  </si>
  <si>
    <t>PMP1260542001</t>
  </si>
  <si>
    <t>4632682891</t>
  </si>
  <si>
    <t>62.787.806,00</t>
  </si>
  <si>
    <t>52.762.862,00</t>
  </si>
  <si>
    <t>10.024.944,00</t>
  </si>
  <si>
    <t>5133639207</t>
  </si>
  <si>
    <t>PMP1260543001</t>
  </si>
  <si>
    <t>4632682884</t>
  </si>
  <si>
    <t>86.994,00</t>
  </si>
  <si>
    <t>73.104,00</t>
  </si>
  <si>
    <t>13.890,00</t>
  </si>
  <si>
    <t>5133585639</t>
  </si>
  <si>
    <t>PMP1260544001</t>
  </si>
  <si>
    <t>4632682887</t>
  </si>
  <si>
    <t>4.251.270,00</t>
  </si>
  <si>
    <t>3.572.496,00</t>
  </si>
  <si>
    <t>678.774,00</t>
  </si>
  <si>
    <t>5133431527</t>
  </si>
  <si>
    <t>PMP1260545001</t>
  </si>
  <si>
    <t>183.557.169,00</t>
  </si>
  <si>
    <t>154.249.722,00</t>
  </si>
  <si>
    <t>29.307.447,00</t>
  </si>
  <si>
    <t>5133656143</t>
  </si>
  <si>
    <t>PMP1260690001</t>
  </si>
  <si>
    <t>7701008009196</t>
  </si>
  <si>
    <t>4632755861</t>
  </si>
  <si>
    <t>25.005.708,00</t>
  </si>
  <si>
    <t>21.013.200,00</t>
  </si>
  <si>
    <t>3.992.508,00</t>
  </si>
  <si>
    <t>5133540736</t>
  </si>
  <si>
    <t>PMP1260691001</t>
  </si>
  <si>
    <t>4632755860</t>
  </si>
  <si>
    <t>603.147.449,00</t>
  </si>
  <si>
    <t>506.846.596,00</t>
  </si>
  <si>
    <t>96.300.853,00</t>
  </si>
  <si>
    <t>5313995430</t>
  </si>
  <si>
    <t>PMP1260691002</t>
  </si>
  <si>
    <t>-9.228.105,00</t>
  </si>
  <si>
    <t>-7.754.710,00</t>
  </si>
  <si>
    <t>-1.473.395,00</t>
  </si>
  <si>
    <t>5133691765</t>
  </si>
  <si>
    <t>PMP1260692001</t>
  </si>
  <si>
    <t>226.827.781,00</t>
  </si>
  <si>
    <t>190.611.581,00</t>
  </si>
  <si>
    <t>36.216.200,00</t>
  </si>
  <si>
    <t>5313911485</t>
  </si>
  <si>
    <t>PMP1260693001</t>
  </si>
  <si>
    <t>4632755864</t>
  </si>
  <si>
    <t>-153.506,00</t>
  </si>
  <si>
    <t>-128.997,00</t>
  </si>
  <si>
    <t>-24.509,00</t>
  </si>
  <si>
    <t>5133656103</t>
  </si>
  <si>
    <t>PMP1260693002</t>
  </si>
  <si>
    <t>60.594.951,00</t>
  </si>
  <si>
    <t>50.920.127,00</t>
  </si>
  <si>
    <t>9.674.824,00</t>
  </si>
  <si>
    <t>5314017816</t>
  </si>
  <si>
    <t>PMP1261021001</t>
  </si>
  <si>
    <t>10-07-2025</t>
  </si>
  <si>
    <t>4632755862</t>
  </si>
  <si>
    <t>-307,00</t>
  </si>
  <si>
    <t>-258,00</t>
  </si>
  <si>
    <t>-49,00</t>
  </si>
  <si>
    <t>5133388671</t>
  </si>
  <si>
    <t>PMP1261021002</t>
  </si>
  <si>
    <t>5.955.581,00</t>
  </si>
  <si>
    <t>5.004.690,00</t>
  </si>
  <si>
    <t>950.891,00</t>
  </si>
  <si>
    <t>5133608370</t>
  </si>
  <si>
    <t>PMP1261022001</t>
  </si>
  <si>
    <t>4632755863</t>
  </si>
  <si>
    <t>80.498.932,00</t>
  </si>
  <si>
    <t>69.495.467,00</t>
  </si>
  <si>
    <t>11.003.465,00</t>
  </si>
  <si>
    <t>5314100742</t>
  </si>
  <si>
    <t>PMP1261022002</t>
  </si>
  <si>
    <t>-596,00</t>
  </si>
  <si>
    <t>-501,00</t>
  </si>
  <si>
    <t>-95,00</t>
  </si>
  <si>
    <t>5133594676</t>
  </si>
  <si>
    <t>PMP1261956001</t>
  </si>
  <si>
    <t>12-07-2025</t>
  </si>
  <si>
    <t>7701008009608</t>
  </si>
  <si>
    <t>4632765127</t>
  </si>
  <si>
    <t>881.876,00</t>
  </si>
  <si>
    <t>741.072,00</t>
  </si>
  <si>
    <t>140.804,00</t>
  </si>
  <si>
    <t>5133621251</t>
  </si>
  <si>
    <t>PMP1263234001</t>
  </si>
  <si>
    <t>15-07-2025</t>
  </si>
  <si>
    <t>4632765129</t>
  </si>
  <si>
    <t>169.353.912,00</t>
  </si>
  <si>
    <t>146.200.896,00</t>
  </si>
  <si>
    <t>23.153.016,00</t>
  </si>
  <si>
    <t>5314034930</t>
  </si>
  <si>
    <t>PMP1263234002</t>
  </si>
  <si>
    <t>-170.654,00</t>
  </si>
  <si>
    <t>-143.407,00</t>
  </si>
  <si>
    <t>-27.247,00</t>
  </si>
  <si>
    <t>5314034929</t>
  </si>
  <si>
    <t>PMP1263235001</t>
  </si>
  <si>
    <t>4632765128</t>
  </si>
  <si>
    <t>-117,00</t>
  </si>
  <si>
    <t>-98,00</t>
  </si>
  <si>
    <t>-19,00</t>
  </si>
  <si>
    <t>5133621250</t>
  </si>
  <si>
    <t>PMP1263235002</t>
  </si>
  <si>
    <t>12.674.545,00</t>
  </si>
  <si>
    <t>10.650.878,00</t>
  </si>
  <si>
    <t>2.023.667,00</t>
  </si>
  <si>
    <t>5133553589</t>
  </si>
  <si>
    <t>PMP1263390001</t>
  </si>
  <si>
    <t>16-07-2025</t>
  </si>
  <si>
    <t>4632765126</t>
  </si>
  <si>
    <t>7.582.323,00</t>
  </si>
  <si>
    <t>6.371.700,00</t>
  </si>
  <si>
    <t>1.210.623,00</t>
  </si>
  <si>
    <t>5132879585</t>
  </si>
  <si>
    <t>PMP1263391001</t>
  </si>
  <si>
    <t>4632765125</t>
  </si>
  <si>
    <t>284.216.759,00</t>
  </si>
  <si>
    <t>238.837.613,00</t>
  </si>
  <si>
    <t>45.379.146,00</t>
  </si>
  <si>
    <t>5313747852</t>
  </si>
  <si>
    <t>PMP1263391002</t>
  </si>
  <si>
    <t>-113.546,00</t>
  </si>
  <si>
    <t>-95.417,00</t>
  </si>
  <si>
    <t>-18.129,00</t>
  </si>
  <si>
    <t>5133407042</t>
  </si>
  <si>
    <t>PMP1263392001</t>
  </si>
  <si>
    <t>84.565.032,00</t>
  </si>
  <si>
    <t>71.063.052,00</t>
  </si>
  <si>
    <t>13.501.980,00</t>
  </si>
  <si>
    <t>5133636229</t>
  </si>
  <si>
    <t>PMP1263393001</t>
  </si>
  <si>
    <t>4632765130</t>
  </si>
  <si>
    <t>118.098.128,00</t>
  </si>
  <si>
    <t>99.242.124,00</t>
  </si>
  <si>
    <t>18.856.004,00</t>
  </si>
  <si>
    <t>5133619602</t>
  </si>
  <si>
    <t>PMP1263582001</t>
  </si>
  <si>
    <t>4632908088</t>
  </si>
  <si>
    <t>34.118.095,00</t>
  </si>
  <si>
    <t>28.670.668,00</t>
  </si>
  <si>
    <t>5.447.427,00</t>
  </si>
  <si>
    <t>5133502675</t>
  </si>
  <si>
    <t>PMP1263583001</t>
  </si>
  <si>
    <t>4632908086</t>
  </si>
  <si>
    <t>744.474,00</t>
  </si>
  <si>
    <t>625.608,00</t>
  </si>
  <si>
    <t>118.866,00</t>
  </si>
  <si>
    <t>5313591348</t>
  </si>
  <si>
    <t>PMP1263584001</t>
  </si>
  <si>
    <t>4632908091</t>
  </si>
  <si>
    <t>-2,00</t>
  </si>
  <si>
    <t>5133704897</t>
  </si>
  <si>
    <t>PMP1263584002</t>
  </si>
  <si>
    <t>83.124,00</t>
  </si>
  <si>
    <t>69.852,00</t>
  </si>
  <si>
    <t>13.272,00</t>
  </si>
  <si>
    <t>3208941815</t>
  </si>
  <si>
    <t>PMP1263585001</t>
  </si>
  <si>
    <t>-25.780,00</t>
  </si>
  <si>
    <t>5133647209</t>
  </si>
  <si>
    <t>PMP1263585002</t>
  </si>
  <si>
    <t>4632908093</t>
  </si>
  <si>
    <t>196.989.499,00</t>
  </si>
  <si>
    <t>165.537.394,00</t>
  </si>
  <si>
    <t>31.452.105,00</t>
  </si>
  <si>
    <t>5133702905</t>
  </si>
  <si>
    <t>PMP1263586001</t>
  </si>
  <si>
    <t>4632908087</t>
  </si>
  <si>
    <t>120.370.882,00</t>
  </si>
  <si>
    <t>101.152.002,00</t>
  </si>
  <si>
    <t>19.218.880,00</t>
  </si>
  <si>
    <t>5313645262</t>
  </si>
  <si>
    <t>PMP1263587001</t>
  </si>
  <si>
    <t>-127.768,00</t>
  </si>
  <si>
    <t>-107.368,00</t>
  </si>
  <si>
    <t>-20.400,00</t>
  </si>
  <si>
    <t>5133605644</t>
  </si>
  <si>
    <t>PMP1263587002</t>
  </si>
  <si>
    <t>557.612.356,00</t>
  </si>
  <si>
    <t>468.581.812,00</t>
  </si>
  <si>
    <t>89.030.544,00</t>
  </si>
  <si>
    <t>5133687007</t>
  </si>
  <si>
    <t>PMP1263715001</t>
  </si>
  <si>
    <t>17-07-2025</t>
  </si>
  <si>
    <t>4632863208</t>
  </si>
  <si>
    <t>260.981,00</t>
  </si>
  <si>
    <t>219.312,00</t>
  </si>
  <si>
    <t>41.669,00</t>
  </si>
  <si>
    <t>5314016334</t>
  </si>
  <si>
    <t>PMP1263716001</t>
  </si>
  <si>
    <t>4632917011</t>
  </si>
  <si>
    <t>-102.628,00</t>
  </si>
  <si>
    <t>-86.242,00</t>
  </si>
  <si>
    <t>-16.386,00</t>
  </si>
  <si>
    <t>5133638517</t>
  </si>
  <si>
    <t>PMP1263716002</t>
  </si>
  <si>
    <t>35.379.112,00</t>
  </si>
  <si>
    <t>29.730.346,00</t>
  </si>
  <si>
    <t>5.648.766,00</t>
  </si>
  <si>
    <t>5133595160</t>
  </si>
  <si>
    <t>PMP1263717001</t>
  </si>
  <si>
    <t>4632917009</t>
  </si>
  <si>
    <t>1.311.846,00</t>
  </si>
  <si>
    <t>1.102.392,00</t>
  </si>
  <si>
    <t>209.454,00</t>
  </si>
  <si>
    <t>5314056016</t>
  </si>
  <si>
    <t>PMP1263718001</t>
  </si>
  <si>
    <t>4632917015</t>
  </si>
  <si>
    <t>-620.386,00</t>
  </si>
  <si>
    <t>-521.333,00</t>
  </si>
  <si>
    <t>-99.053,00</t>
  </si>
  <si>
    <t>5133639460</t>
  </si>
  <si>
    <t>PMP1263718002</t>
  </si>
  <si>
    <t>114.812.600,00</t>
  </si>
  <si>
    <t>96.481.177,00</t>
  </si>
  <si>
    <t>18.331.423,00</t>
  </si>
  <si>
    <t>5133566440</t>
  </si>
  <si>
    <t>PMP1263719001</t>
  </si>
  <si>
    <t>4632917010</t>
  </si>
  <si>
    <t>119.283.889,00</t>
  </si>
  <si>
    <t>100.238.562,00</t>
  </si>
  <si>
    <t>19.045.327,00</t>
  </si>
  <si>
    <t>Totales:</t>
  </si>
  <si>
    <t>2.004.624.128,00</t>
  </si>
  <si>
    <t>1.517.320.601,00</t>
  </si>
  <si>
    <t>450.732.934,00</t>
  </si>
  <si>
    <t>36.596.373,00</t>
  </si>
  <si>
    <t>PMP1260358</t>
  </si>
  <si>
    <t>PMP1260359</t>
  </si>
  <si>
    <t>PMP1260360</t>
  </si>
  <si>
    <t>PMP1260362</t>
  </si>
  <si>
    <t>PMP1260363</t>
  </si>
  <si>
    <t>PMP1260540</t>
  </si>
  <si>
    <t>PMP1260541</t>
  </si>
  <si>
    <t>PMP1260542</t>
  </si>
  <si>
    <t>PMP1260543</t>
  </si>
  <si>
    <t>PMP1260544</t>
  </si>
  <si>
    <t>PMP1260545</t>
  </si>
  <si>
    <t>PMP1260690</t>
  </si>
  <si>
    <t>PMP1260691</t>
  </si>
  <si>
    <t>PMP1260692</t>
  </si>
  <si>
    <t>PMP1261022</t>
  </si>
  <si>
    <t>PMP1261956</t>
  </si>
  <si>
    <t>PMP1263234</t>
  </si>
  <si>
    <t>PMP1263390</t>
  </si>
  <si>
    <t>PMP1263391</t>
  </si>
  <si>
    <t>PMP1263392</t>
  </si>
  <si>
    <t>PMP1263393</t>
  </si>
  <si>
    <t>PMP1263582</t>
  </si>
  <si>
    <t>PMP1263583</t>
  </si>
  <si>
    <t>PMP1263586</t>
  </si>
  <si>
    <t>PMP1263715</t>
  </si>
  <si>
    <t>PMP1263717</t>
  </si>
  <si>
    <t>PMP1263719</t>
  </si>
  <si>
    <t>PMP1260049</t>
  </si>
  <si>
    <t>PMP1260050</t>
  </si>
  <si>
    <t>PMP1260051</t>
  </si>
  <si>
    <t>PMP1260052</t>
  </si>
  <si>
    <t>PMP1260361</t>
  </si>
  <si>
    <t>PMP1260693</t>
  </si>
  <si>
    <t>PMP1261021</t>
  </si>
  <si>
    <t>PMP1263235</t>
  </si>
  <si>
    <t>PMP1263584</t>
  </si>
  <si>
    <t>PMP1263585</t>
  </si>
  <si>
    <t>PMP1263587</t>
  </si>
  <si>
    <t>PMP1263716</t>
  </si>
  <si>
    <t>PMP1263718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</si>
</sst>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sz val="10"/>
      <color rgb="FF553AB6"/>
      <name val="SansSerif"/>
      <family val="2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sz val="10"/>
      <color rgb="FF4DCAFA"/>
      <name val="SansSerif"/>
      <family val="2"/>
    </font>
    <font>
      <b/>
      <sz val="10"/>
      <color rgb="FF000000"/>
      <name val="SansSerif"/>
      <family val="2"/>
    </font>
  </fonts>
  <fills count="17">
    <fill>
      <patternFill patternType="none"/>
    </fill>
    <fill>
      <patternFill patternType="gray125"/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553AB6"/>
      </patternFill>
    </fill>
    <fill>
      <patternFill patternType="solid">
        <fgColor rgb="FFF0EC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F0ECFF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4DCAFA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 applyAlignment="1" applyProtection="1">
      <alignment wrapText="1"/>
      <protection locked="0"/>
    </xf>
    <xf numFmtId="0" fontId="2" fillId="6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2" fillId="9" borderId="7" xfId="0" applyFont="1" applyFill="1" applyBorder="1" applyAlignment="1">
      <alignment horizontal="left" vertical="center" wrapText="1"/>
    </xf>
    <xf numFmtId="0" fontId="2" fillId="10" borderId="8" xfId="0" applyFont="1" applyFill="1" applyBorder="1" applyAlignment="1">
      <alignment horizontal="left"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 applyProtection="1">
      <alignment wrapText="1"/>
      <protection locked="0"/>
    </xf>
    <xf numFmtId="0" fontId="1" fillId="5" borderId="3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0" fillId="11" borderId="3" xfId="0" applyFill="1" applyBorder="1" applyAlignment="1" applyProtection="1">
      <alignment wrapText="1"/>
      <protection locked="0"/>
    </xf>
    <xf numFmtId="0" fontId="0" fillId="12" borderId="2" xfId="0" applyFill="1" applyBorder="1" applyAlignment="1" applyProtection="1">
      <alignment wrapText="1"/>
      <protection locked="0"/>
    </xf>
    <xf numFmtId="0" fontId="4" fillId="13" borderId="9" xfId="0" applyFont="1" applyFill="1" applyBorder="1" applyAlignment="1">
      <alignment horizontal="center" vertical="center" wrapText="1"/>
    </xf>
    <xf numFmtId="4" fontId="3" fillId="15" borderId="11" xfId="0" applyNumberFormat="1" applyFont="1" applyFill="1" applyBorder="1" applyAlignment="1">
      <alignment horizontal="center" vertical="center" wrapText="1"/>
    </xf>
    <xf numFmtId="4" fontId="6" fillId="16" borderId="11" xfId="0" applyNumberFormat="1" applyFont="1" applyFill="1" applyBorder="1" applyAlignment="1">
      <alignment horizontal="center" vertical="center" wrapText="1"/>
    </xf>
    <xf numFmtId="4" fontId="5" fillId="14" borderId="10" xfId="0" applyNumberFormat="1" applyFont="1" applyFill="1" applyBorder="1" applyAlignment="1">
      <alignment horizontal="right" vertical="center" wrapText="1"/>
    </xf>
    <xf numFmtId="4" fontId="3" fillId="15" borderId="11" xfId="0" applyNumberFormat="1" applyFont="1" applyFill="1" applyBorder="1" applyAlignment="1">
      <alignment horizontal="right" vertical="center" wrapText="1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pic>
      <xdr:nvPicPr>
        <xdr:cNvPr id="1719815013" name="Picture">
          <a:extLst>
            <a:ext uri="{FF2B5EF4-FFF2-40B4-BE49-F238E27FC236}">
              <a16:creationId xmlns:a16="http://schemas.microsoft.com/office/drawing/2014/main" id="{00000000-0008-0000-0000-0000654B82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12708" r="1270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9</xdr:col>
      <xdr:colOff>0</xdr:colOff>
      <xdr:row>65</xdr:row>
      <xdr:rowOff>127000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01AC17A-887C-44B3-909A-25E2A5A7228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12708" r="12708"/>
        </a:stretch>
      </xdr:blipFill>
      <xdr:spPr>
        <a:xfrm>
          <a:off x="10835640" y="0"/>
          <a:ext cx="2743200" cy="1257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-Ricardo.Morales\Downloads\Estado%20Cartera%20Ol&#237;mpica%202025%2009%2023.xlsx" TargetMode="External"/><Relationship Id="rId1" Type="http://schemas.openxmlformats.org/officeDocument/2006/relationships/externalLinkPath" Target="Estado%20Cartera%20Ol&#237;mpica%202025%2009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ARTERA"/>
      <sheetName val="1"/>
    </sheetNames>
    <sheetDataSet>
      <sheetData sheetId="0" refreshError="1"/>
      <sheetData sheetId="1">
        <row r="1">
          <cell r="F1" t="str">
            <v>Referencia</v>
          </cell>
          <cell r="G1" t="str">
            <v>N° Doc.</v>
          </cell>
          <cell r="H1" t="str">
            <v>Pos</v>
          </cell>
          <cell r="I1" t="str">
            <v>Clv.Ref.3</v>
          </cell>
          <cell r="J1" t="str">
            <v>ODi</v>
          </cell>
          <cell r="K1" t="str">
            <v>Importe en ML</v>
          </cell>
        </row>
        <row r="2">
          <cell r="F2" t="str">
            <v>PK003702669513</v>
          </cell>
          <cell r="G2" t="str">
            <v>1100007714</v>
          </cell>
          <cell r="H2" t="str">
            <v xml:space="preserve"> 46</v>
          </cell>
          <cell r="I2" t="str">
            <v>MAYOR VALOR PAGO</v>
          </cell>
          <cell r="J2" t="str">
            <v>055</v>
          </cell>
          <cell r="K2">
            <v>-99749</v>
          </cell>
        </row>
        <row r="3">
          <cell r="F3" t="str">
            <v>PK003702706523</v>
          </cell>
          <cell r="G3" t="str">
            <v>1100175686</v>
          </cell>
          <cell r="H3" t="str">
            <v>213</v>
          </cell>
          <cell r="I3" t="str">
            <v>MAYOR VALOR PAGO</v>
          </cell>
          <cell r="J3" t="str">
            <v>055</v>
          </cell>
          <cell r="K3">
            <v>-275318</v>
          </cell>
        </row>
        <row r="4">
          <cell r="F4" t="str">
            <v>100576</v>
          </cell>
          <cell r="G4" t="str">
            <v>1100186616</v>
          </cell>
          <cell r="H4" t="str">
            <v xml:space="preserve"> 84</v>
          </cell>
          <cell r="I4" t="str">
            <v>MAYOR VALOR PAGO</v>
          </cell>
          <cell r="J4" t="str">
            <v>055</v>
          </cell>
          <cell r="K4">
            <v>-88725</v>
          </cell>
        </row>
        <row r="5">
          <cell r="F5" t="str">
            <v>481603</v>
          </cell>
          <cell r="G5" t="str">
            <v>1200001064</v>
          </cell>
          <cell r="H5" t="str">
            <v xml:space="preserve">  4</v>
          </cell>
          <cell r="I5" t="str">
            <v>MAYOR VALOR PAGO</v>
          </cell>
          <cell r="J5" t="str">
            <v>055</v>
          </cell>
          <cell r="K5">
            <v>-57266</v>
          </cell>
        </row>
        <row r="6">
          <cell r="F6" t="str">
            <v>484950</v>
          </cell>
          <cell r="G6" t="str">
            <v>1200002706</v>
          </cell>
          <cell r="H6" t="str">
            <v xml:space="preserve">  2</v>
          </cell>
          <cell r="I6" t="str">
            <v>MAYOR VALOR PAGO</v>
          </cell>
          <cell r="J6" t="str">
            <v>055</v>
          </cell>
          <cell r="K6">
            <v>-64540</v>
          </cell>
        </row>
        <row r="7">
          <cell r="F7" t="str">
            <v>491003</v>
          </cell>
          <cell r="G7" t="str">
            <v>1200006247</v>
          </cell>
          <cell r="H7" t="str">
            <v xml:space="preserve">  3</v>
          </cell>
          <cell r="I7" t="str">
            <v>MAYOR VALOR PAGO</v>
          </cell>
          <cell r="J7" t="str">
            <v>388</v>
          </cell>
          <cell r="K7">
            <v>-158365</v>
          </cell>
        </row>
        <row r="8">
          <cell r="F8" t="str">
            <v>WF#129759 200623</v>
          </cell>
          <cell r="G8" t="str">
            <v>1100097496</v>
          </cell>
          <cell r="H8" t="str">
            <v xml:space="preserve">  1</v>
          </cell>
          <cell r="I8" t="str">
            <v>MAYOR VALOR PAGO</v>
          </cell>
          <cell r="J8" t="str">
            <v>055</v>
          </cell>
          <cell r="K8">
            <v>-240968.68</v>
          </cell>
        </row>
        <row r="9">
          <cell r="F9" t="str">
            <v>NCM10748217</v>
          </cell>
          <cell r="G9" t="str">
            <v>9411271151</v>
          </cell>
          <cell r="H9" t="str">
            <v xml:space="preserve">  1</v>
          </cell>
          <cell r="I9" t="str">
            <v>NOTA</v>
          </cell>
          <cell r="J9" t="str">
            <v>020</v>
          </cell>
          <cell r="K9">
            <v>-37066471</v>
          </cell>
        </row>
        <row r="10">
          <cell r="F10" t="str">
            <v>NCM10748216</v>
          </cell>
          <cell r="G10" t="str">
            <v>9411271150</v>
          </cell>
          <cell r="H10" t="str">
            <v xml:space="preserve">  1</v>
          </cell>
          <cell r="I10" t="str">
            <v>NOTA</v>
          </cell>
          <cell r="J10" t="str">
            <v>020</v>
          </cell>
          <cell r="K10">
            <v>-35841114</v>
          </cell>
        </row>
        <row r="11">
          <cell r="F11" t="str">
            <v>NCM10748114</v>
          </cell>
          <cell r="G11" t="str">
            <v>9411271003</v>
          </cell>
          <cell r="H11" t="str">
            <v xml:space="preserve">  1</v>
          </cell>
          <cell r="I11" t="str">
            <v>NOTA</v>
          </cell>
          <cell r="J11" t="str">
            <v>020</v>
          </cell>
          <cell r="K11">
            <v>-32984323</v>
          </cell>
        </row>
        <row r="12">
          <cell r="F12" t="str">
            <v>NCM10748112</v>
          </cell>
          <cell r="G12" t="str">
            <v>9411271001</v>
          </cell>
          <cell r="H12" t="str">
            <v xml:space="preserve">  1</v>
          </cell>
          <cell r="I12" t="str">
            <v>NOTA</v>
          </cell>
          <cell r="J12" t="str">
            <v>020</v>
          </cell>
          <cell r="K12">
            <v>-31893916</v>
          </cell>
        </row>
        <row r="13">
          <cell r="F13" t="str">
            <v>NCM10748113</v>
          </cell>
          <cell r="G13" t="str">
            <v>9411271002</v>
          </cell>
          <cell r="H13" t="str">
            <v xml:space="preserve">  1</v>
          </cell>
          <cell r="I13" t="str">
            <v>NOTA</v>
          </cell>
          <cell r="J13" t="str">
            <v>020</v>
          </cell>
          <cell r="K13">
            <v>-28723029</v>
          </cell>
        </row>
        <row r="14">
          <cell r="F14" t="str">
            <v>NCM10748091</v>
          </cell>
          <cell r="G14" t="str">
            <v>9411270349</v>
          </cell>
          <cell r="H14" t="str">
            <v xml:space="preserve">  1</v>
          </cell>
          <cell r="I14" t="str">
            <v>NOTA</v>
          </cell>
          <cell r="J14" t="str">
            <v>020</v>
          </cell>
          <cell r="K14">
            <v>-13923969</v>
          </cell>
        </row>
        <row r="15">
          <cell r="F15" t="str">
            <v>NCM10767957</v>
          </cell>
          <cell r="G15" t="str">
            <v>9412334887</v>
          </cell>
          <cell r="H15" t="str">
            <v xml:space="preserve">  1</v>
          </cell>
          <cell r="I15" t="str">
            <v>NOTA</v>
          </cell>
          <cell r="J15" t="str">
            <v>020</v>
          </cell>
          <cell r="K15">
            <v>-861724</v>
          </cell>
        </row>
        <row r="16">
          <cell r="F16" t="str">
            <v>WF#138052 271023</v>
          </cell>
          <cell r="G16" t="str">
            <v>1100165984</v>
          </cell>
          <cell r="H16" t="str">
            <v xml:space="preserve">  1</v>
          </cell>
          <cell r="I16" t="str">
            <v>IMPUESTOS</v>
          </cell>
          <cell r="J16" t="str">
            <v>002</v>
          </cell>
          <cell r="K16">
            <v>44000</v>
          </cell>
        </row>
        <row r="17">
          <cell r="F17" t="str">
            <v>WF#139109 161123</v>
          </cell>
          <cell r="G17" t="str">
            <v>1100176491</v>
          </cell>
          <cell r="H17" t="str">
            <v xml:space="preserve">  1</v>
          </cell>
          <cell r="I17" t="str">
            <v>IMPUESTOS</v>
          </cell>
          <cell r="J17" t="str">
            <v>002</v>
          </cell>
          <cell r="K17">
            <v>380193</v>
          </cell>
        </row>
        <row r="18">
          <cell r="F18" t="str">
            <v>PK003702656871</v>
          </cell>
          <cell r="G18" t="str">
            <v>1100194611</v>
          </cell>
          <cell r="H18" t="str">
            <v xml:space="preserve"> 81</v>
          </cell>
          <cell r="I18" t="str">
            <v>MAYOR VALOR PAGO</v>
          </cell>
          <cell r="J18" t="str">
            <v>055</v>
          </cell>
          <cell r="K18">
            <v>-52500</v>
          </cell>
        </row>
        <row r="19">
          <cell r="F19" t="str">
            <v>NCM10817522</v>
          </cell>
          <cell r="G19" t="str">
            <v>9415850533</v>
          </cell>
          <cell r="H19" t="str">
            <v xml:space="preserve">  1</v>
          </cell>
          <cell r="I19" t="str">
            <v>NOTA</v>
          </cell>
          <cell r="J19" t="str">
            <v>020</v>
          </cell>
          <cell r="K19">
            <v>-175762</v>
          </cell>
        </row>
        <row r="20">
          <cell r="F20" t="str">
            <v>NCM10817528</v>
          </cell>
          <cell r="G20" t="str">
            <v>9415850539</v>
          </cell>
          <cell r="H20" t="str">
            <v xml:space="preserve">  1</v>
          </cell>
          <cell r="I20" t="str">
            <v>NOTA</v>
          </cell>
          <cell r="J20" t="str">
            <v>020</v>
          </cell>
          <cell r="K20">
            <v>-125544</v>
          </cell>
        </row>
        <row r="21">
          <cell r="F21" t="str">
            <v>NCM10817526</v>
          </cell>
          <cell r="G21" t="str">
            <v>9415850537</v>
          </cell>
          <cell r="H21" t="str">
            <v xml:space="preserve">  1</v>
          </cell>
          <cell r="I21" t="str">
            <v>NOTA</v>
          </cell>
          <cell r="J21" t="str">
            <v>020</v>
          </cell>
          <cell r="K21">
            <v>-125544</v>
          </cell>
        </row>
        <row r="22">
          <cell r="F22" t="str">
            <v>NCM10817529</v>
          </cell>
          <cell r="G22" t="str">
            <v>9415850540</v>
          </cell>
          <cell r="H22" t="str">
            <v xml:space="preserve">  1</v>
          </cell>
          <cell r="I22" t="str">
            <v>NOTA</v>
          </cell>
          <cell r="J22" t="str">
            <v>020</v>
          </cell>
          <cell r="K22">
            <v>-100435</v>
          </cell>
        </row>
        <row r="23">
          <cell r="F23" t="str">
            <v>NCM10817519</v>
          </cell>
          <cell r="G23" t="str">
            <v>9415850530</v>
          </cell>
          <cell r="H23" t="str">
            <v xml:space="preserve">  1</v>
          </cell>
          <cell r="I23" t="str">
            <v>NOTA</v>
          </cell>
          <cell r="J23" t="str">
            <v>020</v>
          </cell>
          <cell r="K23">
            <v>-75326</v>
          </cell>
        </row>
        <row r="24">
          <cell r="F24" t="str">
            <v>NCM10817524</v>
          </cell>
          <cell r="G24" t="str">
            <v>9415850535</v>
          </cell>
          <cell r="H24" t="str">
            <v xml:space="preserve">  1</v>
          </cell>
          <cell r="I24" t="str">
            <v>NOTA</v>
          </cell>
          <cell r="J24" t="str">
            <v>020</v>
          </cell>
          <cell r="K24">
            <v>-62772</v>
          </cell>
        </row>
        <row r="25">
          <cell r="F25" t="str">
            <v>NCM10817530</v>
          </cell>
          <cell r="G25" t="str">
            <v>9415850541</v>
          </cell>
          <cell r="H25" t="str">
            <v xml:space="preserve">  1</v>
          </cell>
          <cell r="I25" t="str">
            <v>NOTA</v>
          </cell>
          <cell r="J25" t="str">
            <v>020</v>
          </cell>
          <cell r="K25">
            <v>-25109</v>
          </cell>
        </row>
        <row r="26">
          <cell r="F26" t="str">
            <v>NCM10817532</v>
          </cell>
          <cell r="G26" t="str">
            <v>9415850543</v>
          </cell>
          <cell r="H26" t="str">
            <v xml:space="preserve">  1</v>
          </cell>
          <cell r="I26" t="str">
            <v>NOTA</v>
          </cell>
          <cell r="J26" t="str">
            <v>020</v>
          </cell>
          <cell r="K26">
            <v>-12554</v>
          </cell>
        </row>
        <row r="27">
          <cell r="F27" t="str">
            <v>NCM10817523</v>
          </cell>
          <cell r="G27" t="str">
            <v>9415850534</v>
          </cell>
          <cell r="H27" t="str">
            <v xml:space="preserve">  1</v>
          </cell>
          <cell r="I27" t="str">
            <v>NOTA</v>
          </cell>
          <cell r="J27" t="str">
            <v>020</v>
          </cell>
          <cell r="K27">
            <v>-12554</v>
          </cell>
        </row>
        <row r="28">
          <cell r="F28" t="str">
            <v>PK003701590157</v>
          </cell>
          <cell r="G28" t="str">
            <v>1100202116</v>
          </cell>
          <cell r="H28" t="str">
            <v xml:space="preserve"> 35</v>
          </cell>
          <cell r="I28" t="str">
            <v>MAYOR VALOR PAGO</v>
          </cell>
          <cell r="J28" t="str">
            <v>055</v>
          </cell>
          <cell r="K28">
            <v>-992046</v>
          </cell>
        </row>
        <row r="29">
          <cell r="F29" t="str">
            <v>WF#142189 030124</v>
          </cell>
          <cell r="G29" t="str">
            <v>1100001126</v>
          </cell>
          <cell r="H29" t="str">
            <v xml:space="preserve">  1</v>
          </cell>
          <cell r="I29" t="str">
            <v>IMPUESTOS</v>
          </cell>
          <cell r="J29" t="str">
            <v>002</v>
          </cell>
          <cell r="K29">
            <v>716788.93</v>
          </cell>
        </row>
        <row r="30">
          <cell r="F30" t="str">
            <v>PK003702277270</v>
          </cell>
          <cell r="G30" t="str">
            <v>1100010050</v>
          </cell>
          <cell r="H30" t="str">
            <v>136</v>
          </cell>
          <cell r="I30" t="str">
            <v>REINTEGRO</v>
          </cell>
          <cell r="J30" t="str">
            <v>060</v>
          </cell>
          <cell r="K30">
            <v>-47462</v>
          </cell>
        </row>
        <row r="31">
          <cell r="F31" t="str">
            <v>PK003702530645</v>
          </cell>
          <cell r="G31" t="str">
            <v>1100023477</v>
          </cell>
          <cell r="H31" t="str">
            <v xml:space="preserve"> 84</v>
          </cell>
          <cell r="I31" t="str">
            <v>MAYOR VALOR PAGO</v>
          </cell>
          <cell r="J31" t="str">
            <v>055</v>
          </cell>
          <cell r="K31">
            <v>-547225</v>
          </cell>
        </row>
        <row r="32">
          <cell r="F32" t="str">
            <v>WF#144891 230224</v>
          </cell>
          <cell r="G32" t="str">
            <v>1100029098</v>
          </cell>
          <cell r="H32" t="str">
            <v xml:space="preserve">  1</v>
          </cell>
          <cell r="I32" t="str">
            <v>IMPUESTOS</v>
          </cell>
          <cell r="J32" t="str">
            <v>002</v>
          </cell>
          <cell r="K32">
            <v>1709925.36</v>
          </cell>
        </row>
        <row r="33">
          <cell r="F33" t="str">
            <v>WF#145379 290224</v>
          </cell>
          <cell r="G33" t="str">
            <v>1100033007</v>
          </cell>
          <cell r="H33" t="str">
            <v xml:space="preserve">  1</v>
          </cell>
          <cell r="I33" t="str">
            <v>NOTA COL</v>
          </cell>
          <cell r="J33" t="str">
            <v>004</v>
          </cell>
          <cell r="K33">
            <v>-164350.44</v>
          </cell>
        </row>
        <row r="34">
          <cell r="F34" t="str">
            <v>NCMI10287326</v>
          </cell>
          <cell r="G34" t="str">
            <v>9418438673</v>
          </cell>
          <cell r="H34" t="str">
            <v xml:space="preserve">  1</v>
          </cell>
          <cell r="I34" t="str">
            <v>NOTA COL</v>
          </cell>
          <cell r="J34" t="str">
            <v>004</v>
          </cell>
          <cell r="K34">
            <v>-152525</v>
          </cell>
        </row>
        <row r="35">
          <cell r="F35" t="str">
            <v>WF#145821 080324</v>
          </cell>
          <cell r="G35" t="str">
            <v>1100035714</v>
          </cell>
          <cell r="H35" t="str">
            <v xml:space="preserve">  1</v>
          </cell>
          <cell r="I35" t="str">
            <v>NOTA COL</v>
          </cell>
          <cell r="J35" t="str">
            <v>004</v>
          </cell>
          <cell r="K35">
            <v>-212999</v>
          </cell>
        </row>
        <row r="36">
          <cell r="F36" t="str">
            <v>NCMI10290186</v>
          </cell>
          <cell r="G36" t="str">
            <v>9419435049</v>
          </cell>
          <cell r="H36" t="str">
            <v xml:space="preserve">  1</v>
          </cell>
          <cell r="I36" t="str">
            <v>NOTA COL</v>
          </cell>
          <cell r="J36" t="str">
            <v>004</v>
          </cell>
          <cell r="K36">
            <v>-588962.92000000004</v>
          </cell>
        </row>
        <row r="37">
          <cell r="F37" t="str">
            <v>WF#147643 040424</v>
          </cell>
          <cell r="G37" t="str">
            <v>1100050429</v>
          </cell>
          <cell r="H37" t="str">
            <v xml:space="preserve">  1</v>
          </cell>
          <cell r="I37" t="str">
            <v>CARTERA</v>
          </cell>
          <cell r="J37" t="str">
            <v>026</v>
          </cell>
          <cell r="K37">
            <v>-134250</v>
          </cell>
        </row>
        <row r="38">
          <cell r="F38" t="str">
            <v>NCM10874934</v>
          </cell>
          <cell r="G38" t="str">
            <v>9420026821</v>
          </cell>
          <cell r="H38" t="str">
            <v xml:space="preserve">  1</v>
          </cell>
          <cell r="I38" t="str">
            <v>NOTA COL</v>
          </cell>
          <cell r="J38" t="str">
            <v>024</v>
          </cell>
          <cell r="K38">
            <v>-94998</v>
          </cell>
        </row>
        <row r="39">
          <cell r="F39" t="str">
            <v>WF#148726 250424</v>
          </cell>
          <cell r="G39" t="str">
            <v>1100063142</v>
          </cell>
          <cell r="H39" t="str">
            <v xml:space="preserve">  1</v>
          </cell>
          <cell r="I39" t="str">
            <v>IMPUESTOS</v>
          </cell>
          <cell r="J39" t="str">
            <v>002</v>
          </cell>
          <cell r="K39">
            <v>2016000</v>
          </cell>
        </row>
        <row r="40">
          <cell r="F40" t="str">
            <v>WF#149142 300424</v>
          </cell>
          <cell r="G40" t="str">
            <v>1100067238</v>
          </cell>
          <cell r="H40" t="str">
            <v xml:space="preserve">  1</v>
          </cell>
          <cell r="I40" t="str">
            <v>CARTERA</v>
          </cell>
          <cell r="J40" t="str">
            <v>026</v>
          </cell>
          <cell r="K40">
            <v>-288000</v>
          </cell>
        </row>
        <row r="41">
          <cell r="F41" t="str">
            <v>WF#149730 150524</v>
          </cell>
          <cell r="G41" t="str">
            <v>1100072754</v>
          </cell>
          <cell r="H41" t="str">
            <v xml:space="preserve">  1</v>
          </cell>
          <cell r="I41" t="str">
            <v>FACTURA PROVEEDOR</v>
          </cell>
          <cell r="J41" t="str">
            <v>CSB</v>
          </cell>
          <cell r="K41">
            <v>-1323562</v>
          </cell>
        </row>
        <row r="42">
          <cell r="F42" t="str">
            <v>WF#149730 150524</v>
          </cell>
          <cell r="G42" t="str">
            <v>1100072755</v>
          </cell>
          <cell r="H42" t="str">
            <v xml:space="preserve">  1</v>
          </cell>
          <cell r="I42" t="str">
            <v>FACTURA PROVEEDOR</v>
          </cell>
          <cell r="J42" t="str">
            <v>CSB</v>
          </cell>
          <cell r="K42">
            <v>-288000</v>
          </cell>
        </row>
        <row r="43">
          <cell r="F43" t="str">
            <v>NCMI10296489</v>
          </cell>
          <cell r="G43" t="str">
            <v>9421131495</v>
          </cell>
          <cell r="H43" t="str">
            <v xml:space="preserve">  1</v>
          </cell>
          <cell r="I43" t="str">
            <v>NOTA COL</v>
          </cell>
          <cell r="J43" t="str">
            <v>004</v>
          </cell>
          <cell r="K43">
            <v>-975443</v>
          </cell>
        </row>
        <row r="44">
          <cell r="F44" t="str">
            <v>WF#149991 270524</v>
          </cell>
          <cell r="G44" t="str">
            <v>1100077060</v>
          </cell>
          <cell r="H44" t="str">
            <v xml:space="preserve">  1</v>
          </cell>
          <cell r="I44" t="str">
            <v>NOTA COL</v>
          </cell>
          <cell r="J44" t="str">
            <v>551</v>
          </cell>
          <cell r="K44">
            <v>-475632.12</v>
          </cell>
        </row>
        <row r="45">
          <cell r="F45" t="str">
            <v>489208</v>
          </cell>
          <cell r="G45" t="str">
            <v>1200005262</v>
          </cell>
          <cell r="H45" t="str">
            <v xml:space="preserve"> 62</v>
          </cell>
          <cell r="I45" t="str">
            <v>MAYOR VALOR PAGO</v>
          </cell>
          <cell r="J45" t="str">
            <v>388</v>
          </cell>
          <cell r="K45">
            <v>-111058</v>
          </cell>
        </row>
        <row r="46">
          <cell r="F46" t="str">
            <v>WF#150902 140624</v>
          </cell>
          <cell r="G46" t="str">
            <v>1100088214</v>
          </cell>
          <cell r="H46" t="str">
            <v xml:space="preserve">  1</v>
          </cell>
          <cell r="I46" t="str">
            <v>NOTA COL</v>
          </cell>
          <cell r="J46" t="str">
            <v>551</v>
          </cell>
          <cell r="K46">
            <v>-1128028.8</v>
          </cell>
        </row>
        <row r="47">
          <cell r="F47" t="str">
            <v>WF#151209 240624</v>
          </cell>
          <cell r="G47" t="str">
            <v>1100092311</v>
          </cell>
          <cell r="H47" t="str">
            <v xml:space="preserve">  1</v>
          </cell>
          <cell r="I47" t="str">
            <v>IMPUESTOS</v>
          </cell>
          <cell r="J47" t="str">
            <v>WHT</v>
          </cell>
          <cell r="K47">
            <v>65860.460000000006</v>
          </cell>
        </row>
        <row r="48">
          <cell r="F48" t="str">
            <v>NCM10910905</v>
          </cell>
          <cell r="G48" t="str">
            <v>9422648117</v>
          </cell>
          <cell r="H48" t="str">
            <v xml:space="preserve">  1</v>
          </cell>
          <cell r="I48" t="str">
            <v>NOTA COL</v>
          </cell>
          <cell r="J48" t="str">
            <v>522</v>
          </cell>
          <cell r="K48">
            <v>-96251</v>
          </cell>
        </row>
        <row r="49">
          <cell r="F49" t="str">
            <v>NCM10908642</v>
          </cell>
          <cell r="G49" t="str">
            <v>9422638274</v>
          </cell>
          <cell r="H49" t="str">
            <v xml:space="preserve">  1</v>
          </cell>
          <cell r="I49" t="str">
            <v>NOTA COL</v>
          </cell>
          <cell r="J49" t="str">
            <v>522</v>
          </cell>
          <cell r="K49">
            <v>-16317</v>
          </cell>
        </row>
        <row r="50">
          <cell r="F50" t="str">
            <v>NCM10910886</v>
          </cell>
          <cell r="G50" t="str">
            <v>9422647863</v>
          </cell>
          <cell r="H50" t="str">
            <v xml:space="preserve">  1</v>
          </cell>
          <cell r="I50" t="str">
            <v>NOTA COL</v>
          </cell>
          <cell r="J50" t="str">
            <v>522</v>
          </cell>
          <cell r="K50">
            <v>-15000</v>
          </cell>
        </row>
        <row r="51">
          <cell r="F51" t="str">
            <v>NCM10910933</v>
          </cell>
          <cell r="G51" t="str">
            <v>9422648328</v>
          </cell>
          <cell r="H51" t="str">
            <v xml:space="preserve">  1</v>
          </cell>
          <cell r="I51" t="str">
            <v>NOTA COL</v>
          </cell>
          <cell r="J51" t="str">
            <v>522</v>
          </cell>
          <cell r="K51">
            <v>-13458</v>
          </cell>
        </row>
        <row r="52">
          <cell r="F52" t="str">
            <v>NCM10910934</v>
          </cell>
          <cell r="G52" t="str">
            <v>9422648329</v>
          </cell>
          <cell r="H52" t="str">
            <v xml:space="preserve">  1</v>
          </cell>
          <cell r="I52" t="str">
            <v>NOTA COL</v>
          </cell>
          <cell r="J52" t="str">
            <v>522</v>
          </cell>
          <cell r="K52">
            <v>-13458</v>
          </cell>
        </row>
        <row r="53">
          <cell r="F53" t="str">
            <v>NCM10908727</v>
          </cell>
          <cell r="G53" t="str">
            <v>9422638408</v>
          </cell>
          <cell r="H53" t="str">
            <v xml:space="preserve">  1</v>
          </cell>
          <cell r="I53" t="str">
            <v>NOTA COL</v>
          </cell>
          <cell r="J53" t="str">
            <v>522</v>
          </cell>
          <cell r="K53">
            <v>-9832</v>
          </cell>
        </row>
        <row r="54">
          <cell r="F54" t="str">
            <v>NCM10908640</v>
          </cell>
          <cell r="G54" t="str">
            <v>9422638272</v>
          </cell>
          <cell r="H54" t="str">
            <v xml:space="preserve">  1</v>
          </cell>
          <cell r="I54" t="str">
            <v>NOTA COL</v>
          </cell>
          <cell r="J54" t="str">
            <v>522</v>
          </cell>
          <cell r="K54">
            <v>-9832</v>
          </cell>
        </row>
        <row r="55">
          <cell r="F55" t="str">
            <v>WF#151546 270624</v>
          </cell>
          <cell r="G55" t="str">
            <v>1100095187</v>
          </cell>
          <cell r="H55" t="str">
            <v xml:space="preserve">  1</v>
          </cell>
          <cell r="I55" t="str">
            <v>NOTA COL</v>
          </cell>
          <cell r="J55" t="str">
            <v>551</v>
          </cell>
          <cell r="K55">
            <v>-29407.86</v>
          </cell>
        </row>
        <row r="56">
          <cell r="F56" t="str">
            <v>NCMI10302888</v>
          </cell>
          <cell r="G56" t="str">
            <v>9423196353</v>
          </cell>
          <cell r="H56" t="str">
            <v xml:space="preserve">  1</v>
          </cell>
          <cell r="I56" t="str">
            <v>NOTA COL</v>
          </cell>
          <cell r="J56" t="str">
            <v>522</v>
          </cell>
          <cell r="K56">
            <v>-80958.8</v>
          </cell>
        </row>
        <row r="57">
          <cell r="F57" t="str">
            <v>WF#152165 110724</v>
          </cell>
          <cell r="G57" t="str">
            <v>1100106373</v>
          </cell>
          <cell r="H57" t="str">
            <v xml:space="preserve">  1</v>
          </cell>
          <cell r="I57" t="str">
            <v>NOTA COL</v>
          </cell>
          <cell r="J57" t="str">
            <v>551</v>
          </cell>
          <cell r="K57">
            <v>-1868148.92</v>
          </cell>
        </row>
        <row r="58">
          <cell r="F58" t="str">
            <v>WF#152190 160724</v>
          </cell>
          <cell r="G58" t="str">
            <v>1100106296</v>
          </cell>
          <cell r="H58" t="str">
            <v xml:space="preserve">  1</v>
          </cell>
          <cell r="I58" t="str">
            <v>IMPUESTOS</v>
          </cell>
          <cell r="J58" t="str">
            <v>WHT</v>
          </cell>
          <cell r="K58">
            <v>354304.3</v>
          </cell>
        </row>
        <row r="59">
          <cell r="F59" t="str">
            <v>WF#152165 110724</v>
          </cell>
          <cell r="G59" t="str">
            <v>1100106378</v>
          </cell>
          <cell r="H59" t="str">
            <v xml:space="preserve">  1</v>
          </cell>
          <cell r="I59" t="str">
            <v>NOTA COL</v>
          </cell>
          <cell r="J59" t="str">
            <v>551</v>
          </cell>
          <cell r="K59">
            <v>-56595</v>
          </cell>
        </row>
        <row r="60">
          <cell r="F60" t="str">
            <v>531607</v>
          </cell>
          <cell r="G60" t="str">
            <v>1200008618</v>
          </cell>
          <cell r="H60" t="str">
            <v xml:space="preserve"> 51</v>
          </cell>
          <cell r="I60" t="str">
            <v>MAYOR VALOR PAGO</v>
          </cell>
          <cell r="J60" t="str">
            <v>388</v>
          </cell>
          <cell r="K60">
            <v>-3699</v>
          </cell>
        </row>
        <row r="61">
          <cell r="F61" t="str">
            <v>WF#152430 230724</v>
          </cell>
          <cell r="G61" t="str">
            <v>1100109362</v>
          </cell>
          <cell r="H61" t="str">
            <v xml:space="preserve">  1</v>
          </cell>
          <cell r="I61" t="str">
            <v>NOTA COL</v>
          </cell>
          <cell r="J61" t="str">
            <v>551</v>
          </cell>
          <cell r="K61">
            <v>-288193.28000000003</v>
          </cell>
        </row>
        <row r="62">
          <cell r="F62" t="str">
            <v>WF#152430 230724</v>
          </cell>
          <cell r="G62" t="str">
            <v>1100109360</v>
          </cell>
          <cell r="H62" t="str">
            <v xml:space="preserve">  1</v>
          </cell>
          <cell r="I62" t="str">
            <v>NOTA COL</v>
          </cell>
          <cell r="J62" t="str">
            <v>551</v>
          </cell>
          <cell r="K62">
            <v>-197634.64</v>
          </cell>
        </row>
        <row r="63">
          <cell r="F63" t="str">
            <v>WF#152970 300724</v>
          </cell>
          <cell r="G63" t="str">
            <v>1100115649</v>
          </cell>
          <cell r="H63" t="str">
            <v xml:space="preserve">  1</v>
          </cell>
          <cell r="I63" t="str">
            <v>IMPUESTOS</v>
          </cell>
          <cell r="J63" t="str">
            <v>WHT</v>
          </cell>
          <cell r="K63">
            <v>-231000</v>
          </cell>
        </row>
        <row r="64">
          <cell r="F64" t="str">
            <v>NCMI10305037</v>
          </cell>
          <cell r="G64" t="str">
            <v>9424073216</v>
          </cell>
          <cell r="H64" t="str">
            <v xml:space="preserve">  1</v>
          </cell>
          <cell r="I64" t="str">
            <v>NOTA COL</v>
          </cell>
          <cell r="J64" t="str">
            <v>551</v>
          </cell>
          <cell r="K64">
            <v>-565359</v>
          </cell>
        </row>
        <row r="65">
          <cell r="F65" t="str">
            <v>541796</v>
          </cell>
          <cell r="G65" t="str">
            <v>1200009453</v>
          </cell>
          <cell r="H65" t="str">
            <v xml:space="preserve">  2</v>
          </cell>
          <cell r="I65" t="str">
            <v>REINTEGRO</v>
          </cell>
          <cell r="J65" t="str">
            <v>CSR</v>
          </cell>
          <cell r="K65">
            <v>-22404</v>
          </cell>
        </row>
        <row r="66">
          <cell r="F66" t="str">
            <v>565333</v>
          </cell>
          <cell r="G66" t="str">
            <v>1200011157</v>
          </cell>
          <cell r="H66" t="str">
            <v xml:space="preserve"> 14</v>
          </cell>
          <cell r="I66" t="str">
            <v>MAYOR VALOR PAGO</v>
          </cell>
          <cell r="J66" t="str">
            <v>388</v>
          </cell>
          <cell r="K66">
            <v>-60012</v>
          </cell>
        </row>
        <row r="67">
          <cell r="F67" t="str">
            <v>NCMI10309015</v>
          </cell>
          <cell r="G67" t="str">
            <v>9425431380</v>
          </cell>
          <cell r="H67" t="str">
            <v xml:space="preserve">  1</v>
          </cell>
          <cell r="I67" t="str">
            <v>NOTA COL</v>
          </cell>
          <cell r="J67" t="str">
            <v>551</v>
          </cell>
          <cell r="K67">
            <v>-182970</v>
          </cell>
        </row>
        <row r="68">
          <cell r="F68" t="str">
            <v>WF#156492 211024</v>
          </cell>
          <cell r="G68" t="str">
            <v>1100156881</v>
          </cell>
          <cell r="H68" t="str">
            <v xml:space="preserve">  1</v>
          </cell>
          <cell r="I68" t="str">
            <v>NOTA COL</v>
          </cell>
          <cell r="J68" t="str">
            <v>551</v>
          </cell>
          <cell r="K68">
            <v>-138019.48000000001</v>
          </cell>
        </row>
        <row r="69">
          <cell r="F69" t="str">
            <v>WF#156755 251024</v>
          </cell>
          <cell r="G69" t="str">
            <v>1100160842</v>
          </cell>
          <cell r="H69" t="str">
            <v xml:space="preserve">  1</v>
          </cell>
          <cell r="I69" t="str">
            <v>NOTA COL</v>
          </cell>
          <cell r="J69" t="str">
            <v>551</v>
          </cell>
          <cell r="K69">
            <v>-359582</v>
          </cell>
        </row>
        <row r="70">
          <cell r="F70" t="str">
            <v>WF#156755 251024</v>
          </cell>
          <cell r="G70" t="str">
            <v>1100160840</v>
          </cell>
          <cell r="H70" t="str">
            <v xml:space="preserve">  1</v>
          </cell>
          <cell r="I70" t="str">
            <v>NOTA COL</v>
          </cell>
          <cell r="J70" t="str">
            <v>551</v>
          </cell>
          <cell r="K70">
            <v>-258820.48000000001</v>
          </cell>
        </row>
        <row r="71">
          <cell r="F71" t="str">
            <v>WF#156991 301024</v>
          </cell>
          <cell r="G71" t="str">
            <v>1100164502</v>
          </cell>
          <cell r="H71" t="str">
            <v xml:space="preserve">  1</v>
          </cell>
          <cell r="I71" t="str">
            <v>NOTA COL</v>
          </cell>
          <cell r="J71" t="str">
            <v>522</v>
          </cell>
          <cell r="K71">
            <v>-756923</v>
          </cell>
        </row>
        <row r="72">
          <cell r="F72" t="str">
            <v>WF#156991 301024</v>
          </cell>
          <cell r="G72" t="str">
            <v>1100164499</v>
          </cell>
          <cell r="H72" t="str">
            <v xml:space="preserve">  1</v>
          </cell>
          <cell r="I72" t="str">
            <v>PDTE IDENT VTAS</v>
          </cell>
          <cell r="J72" t="str">
            <v>MCT</v>
          </cell>
          <cell r="K72">
            <v>-62138</v>
          </cell>
        </row>
        <row r="73">
          <cell r="F73" t="str">
            <v>WF#160936 27125</v>
          </cell>
          <cell r="G73" t="str">
            <v>1100007774</v>
          </cell>
          <cell r="H73" t="str">
            <v xml:space="preserve">  1</v>
          </cell>
          <cell r="I73" t="str">
            <v>IMPUESTOS</v>
          </cell>
          <cell r="J73" t="str">
            <v>WHT</v>
          </cell>
          <cell r="K73">
            <v>231000</v>
          </cell>
        </row>
        <row r="74">
          <cell r="F74" t="str">
            <v>WF#158855 30112</v>
          </cell>
          <cell r="G74" t="str">
            <v>1100185373</v>
          </cell>
          <cell r="H74" t="str">
            <v xml:space="preserve">  1</v>
          </cell>
          <cell r="I74" t="str">
            <v>FACTURA PROVEEDOR</v>
          </cell>
          <cell r="J74" t="str">
            <v>CSB</v>
          </cell>
          <cell r="K74">
            <v>-156279.06</v>
          </cell>
        </row>
        <row r="75">
          <cell r="F75" t="str">
            <v>WF#157797 18112</v>
          </cell>
          <cell r="G75" t="str">
            <v>1100172438</v>
          </cell>
          <cell r="H75" t="str">
            <v xml:space="preserve">  1</v>
          </cell>
          <cell r="I75" t="str">
            <v>IMPUESTOS</v>
          </cell>
          <cell r="J75" t="str">
            <v>WHT</v>
          </cell>
          <cell r="K75">
            <v>34509</v>
          </cell>
        </row>
        <row r="76">
          <cell r="F76" t="str">
            <v>WF#157772 141124</v>
          </cell>
          <cell r="G76" t="str">
            <v>1100171195</v>
          </cell>
          <cell r="H76" t="str">
            <v xml:space="preserve">  1</v>
          </cell>
          <cell r="I76" t="str">
            <v>FACTURA PROVEEDOR</v>
          </cell>
          <cell r="J76" t="str">
            <v>CSB</v>
          </cell>
          <cell r="K76">
            <v>-1473509</v>
          </cell>
        </row>
        <row r="77">
          <cell r="F77" t="str">
            <v>WF#157772 141124</v>
          </cell>
          <cell r="G77" t="str">
            <v>1100171196</v>
          </cell>
          <cell r="H77" t="str">
            <v xml:space="preserve">  1</v>
          </cell>
          <cell r="I77" t="str">
            <v>FACTURA PROVEEDOR</v>
          </cell>
          <cell r="J77" t="str">
            <v>CSB</v>
          </cell>
          <cell r="K77">
            <v>-1338733</v>
          </cell>
        </row>
        <row r="78">
          <cell r="F78" t="str">
            <v>WF#157772 141124</v>
          </cell>
          <cell r="G78" t="str">
            <v>1100171197</v>
          </cell>
          <cell r="H78" t="str">
            <v xml:space="preserve">  1</v>
          </cell>
          <cell r="I78" t="str">
            <v>FACTURA PROVEEDOR</v>
          </cell>
          <cell r="J78" t="str">
            <v>CSB</v>
          </cell>
          <cell r="K78">
            <v>-975579</v>
          </cell>
        </row>
        <row r="79">
          <cell r="F79" t="str">
            <v>WF#157772 141124</v>
          </cell>
          <cell r="G79" t="str">
            <v>1100171198</v>
          </cell>
          <cell r="H79" t="str">
            <v xml:space="preserve">  1</v>
          </cell>
          <cell r="I79" t="str">
            <v>IMPUESTOS</v>
          </cell>
          <cell r="J79" t="str">
            <v>WHT</v>
          </cell>
          <cell r="K79">
            <v>585000</v>
          </cell>
        </row>
        <row r="80">
          <cell r="F80" t="str">
            <v>WF#157772 141124</v>
          </cell>
          <cell r="G80" t="str">
            <v>1100171199</v>
          </cell>
          <cell r="H80" t="str">
            <v xml:space="preserve">  1</v>
          </cell>
          <cell r="I80" t="str">
            <v>FACTURA PROVEEDOR</v>
          </cell>
          <cell r="J80" t="str">
            <v>CSB</v>
          </cell>
          <cell r="K80">
            <v>-375020</v>
          </cell>
        </row>
        <row r="81">
          <cell r="F81" t="str">
            <v>WF#157772 141124</v>
          </cell>
          <cell r="G81" t="str">
            <v>1100171200</v>
          </cell>
          <cell r="H81" t="str">
            <v xml:space="preserve">  1</v>
          </cell>
          <cell r="I81" t="str">
            <v>IMPUESTOS</v>
          </cell>
          <cell r="J81" t="str">
            <v>WHT</v>
          </cell>
          <cell r="K81">
            <v>105073</v>
          </cell>
        </row>
        <row r="82">
          <cell r="F82" t="str">
            <v>WF#157772 141124</v>
          </cell>
          <cell r="G82" t="str">
            <v>1100171201</v>
          </cell>
          <cell r="H82" t="str">
            <v xml:space="preserve">  1</v>
          </cell>
          <cell r="I82" t="str">
            <v>IMPUESTOS</v>
          </cell>
          <cell r="J82" t="str">
            <v>WHT</v>
          </cell>
          <cell r="K82">
            <v>66256</v>
          </cell>
        </row>
        <row r="83">
          <cell r="F83" t="str">
            <v>WF#157772 141124</v>
          </cell>
          <cell r="G83" t="str">
            <v>1100171202</v>
          </cell>
          <cell r="H83" t="str">
            <v xml:space="preserve">  1</v>
          </cell>
          <cell r="I83" t="str">
            <v>IMPUESTOS</v>
          </cell>
          <cell r="J83" t="str">
            <v>WHT</v>
          </cell>
          <cell r="K83">
            <v>66014</v>
          </cell>
        </row>
        <row r="84">
          <cell r="F84" t="str">
            <v>WF#158230 261124</v>
          </cell>
          <cell r="G84" t="str">
            <v>1100177204</v>
          </cell>
          <cell r="H84" t="str">
            <v xml:space="preserve">  1</v>
          </cell>
          <cell r="I84" t="str">
            <v>FACTURA PROVEEDOR</v>
          </cell>
          <cell r="J84" t="str">
            <v>CSB</v>
          </cell>
          <cell r="K84">
            <v>-6387806</v>
          </cell>
        </row>
        <row r="85">
          <cell r="F85" t="str">
            <v>WF#158230 261124</v>
          </cell>
          <cell r="G85" t="str">
            <v>1100177205</v>
          </cell>
          <cell r="H85" t="str">
            <v xml:space="preserve">  1</v>
          </cell>
          <cell r="I85" t="str">
            <v>IMPUESTOS</v>
          </cell>
          <cell r="J85" t="str">
            <v>WHT</v>
          </cell>
          <cell r="K85">
            <v>-1729616</v>
          </cell>
        </row>
        <row r="86">
          <cell r="F86" t="str">
            <v>WF#158230 261124</v>
          </cell>
          <cell r="G86" t="str">
            <v>1100177206</v>
          </cell>
          <cell r="H86" t="str">
            <v xml:space="preserve">  1</v>
          </cell>
          <cell r="I86" t="str">
            <v>IMPUESTOS</v>
          </cell>
          <cell r="J86" t="str">
            <v>WHT</v>
          </cell>
          <cell r="K86">
            <v>-752655</v>
          </cell>
        </row>
        <row r="87">
          <cell r="F87" t="str">
            <v>WF#158230 261124</v>
          </cell>
          <cell r="G87" t="str">
            <v>1100177207</v>
          </cell>
          <cell r="H87" t="str">
            <v xml:space="preserve">  1</v>
          </cell>
          <cell r="I87" t="str">
            <v>IMPUESTOS</v>
          </cell>
          <cell r="J87" t="str">
            <v>WHT</v>
          </cell>
          <cell r="K87">
            <v>458360</v>
          </cell>
        </row>
        <row r="88">
          <cell r="F88" t="str">
            <v>WF#158230 261124</v>
          </cell>
          <cell r="G88" t="str">
            <v>1100177208</v>
          </cell>
          <cell r="H88" t="str">
            <v xml:space="preserve">  1</v>
          </cell>
          <cell r="I88" t="str">
            <v>IMPUESTOS</v>
          </cell>
          <cell r="J88" t="str">
            <v>WHT</v>
          </cell>
          <cell r="K88">
            <v>187389</v>
          </cell>
        </row>
        <row r="89">
          <cell r="F89" t="str">
            <v>WF#158230 261124</v>
          </cell>
          <cell r="G89" t="str">
            <v>1100177209</v>
          </cell>
          <cell r="H89" t="str">
            <v xml:space="preserve">  1</v>
          </cell>
          <cell r="I89" t="str">
            <v>IMPUESTOS</v>
          </cell>
          <cell r="J89" t="str">
            <v>WHT</v>
          </cell>
          <cell r="K89">
            <v>138077</v>
          </cell>
        </row>
        <row r="90">
          <cell r="F90" t="str">
            <v>NCM11023486</v>
          </cell>
          <cell r="G90" t="str">
            <v>9428135335</v>
          </cell>
          <cell r="H90" t="str">
            <v xml:space="preserve">  1</v>
          </cell>
          <cell r="I90" t="str">
            <v>NOTA</v>
          </cell>
          <cell r="J90" t="str">
            <v>659</v>
          </cell>
          <cell r="K90">
            <v>-7083</v>
          </cell>
        </row>
        <row r="91">
          <cell r="F91" t="str">
            <v>WF#159579 201224</v>
          </cell>
          <cell r="G91" t="str">
            <v>1100197647</v>
          </cell>
          <cell r="H91" t="str">
            <v xml:space="preserve">  1</v>
          </cell>
          <cell r="I91" t="str">
            <v>NOTA COL</v>
          </cell>
          <cell r="J91" t="str">
            <v>551</v>
          </cell>
          <cell r="K91">
            <v>-399579.64</v>
          </cell>
        </row>
        <row r="92">
          <cell r="F92" t="str">
            <v>WF#159579 201224</v>
          </cell>
          <cell r="G92" t="str">
            <v>1100197720</v>
          </cell>
          <cell r="H92" t="str">
            <v xml:space="preserve">  1</v>
          </cell>
          <cell r="I92" t="str">
            <v>NOTA COL</v>
          </cell>
          <cell r="J92" t="str">
            <v>551</v>
          </cell>
          <cell r="K92">
            <v>-257506.29</v>
          </cell>
        </row>
        <row r="93">
          <cell r="F93" t="str">
            <v>WF#159579 201224</v>
          </cell>
          <cell r="G93" t="str">
            <v>1100197648</v>
          </cell>
          <cell r="H93" t="str">
            <v xml:space="preserve">  1</v>
          </cell>
          <cell r="I93" t="str">
            <v>NOTA COL</v>
          </cell>
          <cell r="J93" t="str">
            <v>551</v>
          </cell>
          <cell r="K93">
            <v>-241631.68</v>
          </cell>
        </row>
        <row r="94">
          <cell r="F94" t="str">
            <v>WF#159579 201224</v>
          </cell>
          <cell r="G94" t="str">
            <v>1100197724</v>
          </cell>
          <cell r="H94" t="str">
            <v xml:space="preserve">  1</v>
          </cell>
          <cell r="I94" t="str">
            <v>NOTA COL</v>
          </cell>
          <cell r="J94" t="str">
            <v>551</v>
          </cell>
          <cell r="K94">
            <v>-169666</v>
          </cell>
        </row>
        <row r="95">
          <cell r="F95" t="str">
            <v>WF#159579 201224</v>
          </cell>
          <cell r="G95" t="str">
            <v>1100197732</v>
          </cell>
          <cell r="H95" t="str">
            <v xml:space="preserve">  1</v>
          </cell>
          <cell r="I95" t="str">
            <v>NOTA COL</v>
          </cell>
          <cell r="J95" t="str">
            <v>551</v>
          </cell>
          <cell r="K95">
            <v>-75268</v>
          </cell>
        </row>
        <row r="96">
          <cell r="F96" t="str">
            <v>NCM11054505</v>
          </cell>
          <cell r="G96" t="str">
            <v>9429146139</v>
          </cell>
          <cell r="H96" t="str">
            <v xml:space="preserve">  1</v>
          </cell>
          <cell r="I96" t="str">
            <v>NOTA</v>
          </cell>
          <cell r="J96" t="str">
            <v>659</v>
          </cell>
          <cell r="K96">
            <v>-16317</v>
          </cell>
        </row>
        <row r="97">
          <cell r="F97" t="str">
            <v>NCM11054521</v>
          </cell>
          <cell r="G97" t="str">
            <v>9429146165</v>
          </cell>
          <cell r="H97" t="str">
            <v xml:space="preserve">  1</v>
          </cell>
          <cell r="I97" t="str">
            <v>NOTA</v>
          </cell>
          <cell r="J97" t="str">
            <v>659</v>
          </cell>
          <cell r="K97">
            <v>-15991</v>
          </cell>
        </row>
        <row r="98">
          <cell r="F98" t="str">
            <v>NCM11054662</v>
          </cell>
          <cell r="G98" t="str">
            <v>9429146306</v>
          </cell>
          <cell r="H98" t="str">
            <v xml:space="preserve">  1</v>
          </cell>
          <cell r="I98" t="str">
            <v>NOTA</v>
          </cell>
          <cell r="J98" t="str">
            <v>659</v>
          </cell>
          <cell r="K98">
            <v>-10001</v>
          </cell>
        </row>
        <row r="99">
          <cell r="F99" t="str">
            <v>NCM11054658</v>
          </cell>
          <cell r="G99" t="str">
            <v>9429146302</v>
          </cell>
          <cell r="H99" t="str">
            <v xml:space="preserve">  1</v>
          </cell>
          <cell r="I99" t="str">
            <v>NOTA</v>
          </cell>
          <cell r="J99" t="str">
            <v>659</v>
          </cell>
          <cell r="K99">
            <v>-10001</v>
          </cell>
        </row>
        <row r="100">
          <cell r="F100" t="str">
            <v>WF#159892 301224</v>
          </cell>
          <cell r="G100" t="str">
            <v>1100200790</v>
          </cell>
          <cell r="H100" t="str">
            <v xml:space="preserve">  1</v>
          </cell>
          <cell r="I100" t="str">
            <v>IMPUESTOS</v>
          </cell>
          <cell r="J100" t="str">
            <v>WHT</v>
          </cell>
          <cell r="K100">
            <v>1004357</v>
          </cell>
        </row>
        <row r="101">
          <cell r="F101" t="str">
            <v>WF#160684 170125</v>
          </cell>
          <cell r="G101" t="str">
            <v>1100004239</v>
          </cell>
          <cell r="H101" t="str">
            <v xml:space="preserve">  1</v>
          </cell>
          <cell r="I101" t="str">
            <v>NOTA COL</v>
          </cell>
          <cell r="J101" t="str">
            <v>551</v>
          </cell>
          <cell r="K101">
            <v>-547510</v>
          </cell>
        </row>
        <row r="102">
          <cell r="F102" t="str">
            <v>WF#160684 170125</v>
          </cell>
          <cell r="G102" t="str">
            <v>1100004236</v>
          </cell>
          <cell r="H102" t="str">
            <v xml:space="preserve">  1</v>
          </cell>
          <cell r="I102" t="str">
            <v>NOTA COL</v>
          </cell>
          <cell r="J102" t="str">
            <v>551</v>
          </cell>
          <cell r="K102">
            <v>-93860</v>
          </cell>
        </row>
        <row r="103">
          <cell r="F103" t="str">
            <v>689921</v>
          </cell>
          <cell r="G103" t="str">
            <v>1200000783</v>
          </cell>
          <cell r="H103" t="str">
            <v>111</v>
          </cell>
          <cell r="I103" t="str">
            <v>AVERIA</v>
          </cell>
          <cell r="J103" t="str">
            <v>522</v>
          </cell>
          <cell r="K103">
            <v>63720</v>
          </cell>
        </row>
        <row r="104">
          <cell r="F104" t="str">
            <v>NCM11069366</v>
          </cell>
          <cell r="G104" t="str">
            <v>9429991794</v>
          </cell>
          <cell r="H104" t="str">
            <v xml:space="preserve">  1</v>
          </cell>
          <cell r="I104" t="str">
            <v>NOTA</v>
          </cell>
          <cell r="J104" t="str">
            <v>659</v>
          </cell>
          <cell r="K104">
            <v>-15991</v>
          </cell>
        </row>
        <row r="105">
          <cell r="F105" t="str">
            <v>WF#162673 28225</v>
          </cell>
          <cell r="G105" t="str">
            <v>1100023677</v>
          </cell>
          <cell r="H105" t="str">
            <v xml:space="preserve">  1</v>
          </cell>
          <cell r="I105" t="str">
            <v>FACTURA PROVEEDOR</v>
          </cell>
          <cell r="J105" t="str">
            <v>CSB</v>
          </cell>
          <cell r="K105">
            <v>-489624.87</v>
          </cell>
        </row>
        <row r="106">
          <cell r="F106" t="str">
            <v>711670</v>
          </cell>
          <cell r="G106" t="str">
            <v>1200001941</v>
          </cell>
          <cell r="H106" t="str">
            <v xml:space="preserve"> 22</v>
          </cell>
          <cell r="I106" t="str">
            <v>MAYOR VALOR PAGO</v>
          </cell>
          <cell r="J106" t="str">
            <v>388</v>
          </cell>
          <cell r="K106">
            <v>-16317</v>
          </cell>
        </row>
        <row r="107">
          <cell r="F107" t="str">
            <v>NCMI10321372</v>
          </cell>
          <cell r="G107" t="str">
            <v>9430755682</v>
          </cell>
          <cell r="H107" t="str">
            <v xml:space="preserve">  1</v>
          </cell>
          <cell r="I107" t="str">
            <v>NOTA COL</v>
          </cell>
          <cell r="J107" t="str">
            <v>551</v>
          </cell>
          <cell r="K107">
            <v>-93491</v>
          </cell>
        </row>
        <row r="108">
          <cell r="F108" t="str">
            <v>NCMI10322142</v>
          </cell>
          <cell r="G108" t="str">
            <v>9431007927</v>
          </cell>
          <cell r="H108" t="str">
            <v xml:space="preserve">  1</v>
          </cell>
          <cell r="I108" t="str">
            <v>NOTA COL</v>
          </cell>
          <cell r="J108" t="str">
            <v>551</v>
          </cell>
          <cell r="K108">
            <v>-837370</v>
          </cell>
        </row>
        <row r="109">
          <cell r="F109" t="str">
            <v>725887</v>
          </cell>
          <cell r="G109" t="str">
            <v>1200002641</v>
          </cell>
          <cell r="H109" t="str">
            <v xml:space="preserve"> 28</v>
          </cell>
          <cell r="I109" t="str">
            <v>AVERIA</v>
          </cell>
          <cell r="J109" t="str">
            <v>522</v>
          </cell>
          <cell r="K109">
            <v>59150</v>
          </cell>
        </row>
        <row r="110">
          <cell r="F110" t="str">
            <v>725887</v>
          </cell>
          <cell r="G110" t="str">
            <v>1200002641</v>
          </cell>
          <cell r="H110" t="str">
            <v xml:space="preserve"> 15</v>
          </cell>
          <cell r="I110" t="str">
            <v>AVERIA</v>
          </cell>
          <cell r="J110" t="str">
            <v>522</v>
          </cell>
          <cell r="K110">
            <v>50004</v>
          </cell>
        </row>
        <row r="111">
          <cell r="F111" t="str">
            <v>NCMI10324312</v>
          </cell>
          <cell r="G111" t="str">
            <v>9431684745</v>
          </cell>
          <cell r="H111" t="str">
            <v xml:space="preserve">  1</v>
          </cell>
          <cell r="I111" t="str">
            <v>NOTA COL</v>
          </cell>
          <cell r="J111" t="str">
            <v>551</v>
          </cell>
          <cell r="K111">
            <v>-72000.240000000005</v>
          </cell>
        </row>
        <row r="112">
          <cell r="F112" t="str">
            <v>WF#147643 040424</v>
          </cell>
          <cell r="G112" t="str">
            <v>1100050432</v>
          </cell>
          <cell r="H112" t="str">
            <v xml:space="preserve">  1</v>
          </cell>
          <cell r="I112" t="str">
            <v>IMPUESTOS</v>
          </cell>
          <cell r="J112" t="str">
            <v>WHT</v>
          </cell>
          <cell r="K112">
            <v>24528.83</v>
          </cell>
        </row>
        <row r="113">
          <cell r="F113" t="str">
            <v>WF#163677 210325</v>
          </cell>
          <cell r="G113" t="str">
            <v>1100034723</v>
          </cell>
          <cell r="H113" t="str">
            <v xml:space="preserve">  1</v>
          </cell>
          <cell r="I113" t="str">
            <v>IMPUESTOS</v>
          </cell>
          <cell r="J113" t="str">
            <v>WHT</v>
          </cell>
          <cell r="K113">
            <v>489625</v>
          </cell>
        </row>
        <row r="114">
          <cell r="F114" t="str">
            <v>PK003702855436</v>
          </cell>
          <cell r="G114" t="str">
            <v>1100036021</v>
          </cell>
          <cell r="H114" t="str">
            <v xml:space="preserve"> 30</v>
          </cell>
          <cell r="I114" t="str">
            <v>AVERIA</v>
          </cell>
          <cell r="J114" t="str">
            <v>522</v>
          </cell>
          <cell r="K114">
            <v>207025</v>
          </cell>
        </row>
        <row r="115">
          <cell r="F115" t="str">
            <v>PK003702855436</v>
          </cell>
          <cell r="G115" t="str">
            <v>1100036021</v>
          </cell>
          <cell r="H115" t="str">
            <v xml:space="preserve"> 12</v>
          </cell>
          <cell r="I115" t="str">
            <v>AVERIA</v>
          </cell>
          <cell r="J115" t="str">
            <v>522</v>
          </cell>
          <cell r="K115">
            <v>195836</v>
          </cell>
        </row>
        <row r="116">
          <cell r="F116" t="str">
            <v>PK003702855436</v>
          </cell>
          <cell r="G116" t="str">
            <v>1100036021</v>
          </cell>
          <cell r="H116" t="str">
            <v xml:space="preserve"> 24</v>
          </cell>
          <cell r="I116" t="str">
            <v>AVERIA</v>
          </cell>
          <cell r="J116" t="str">
            <v>522</v>
          </cell>
          <cell r="K116">
            <v>147875</v>
          </cell>
        </row>
        <row r="117">
          <cell r="F117" t="str">
            <v>WF#164152 280325</v>
          </cell>
          <cell r="G117" t="str">
            <v>1100039574</v>
          </cell>
          <cell r="H117" t="str">
            <v xml:space="preserve">  1</v>
          </cell>
          <cell r="I117" t="str">
            <v>NOTA</v>
          </cell>
          <cell r="J117" t="str">
            <v>659</v>
          </cell>
          <cell r="K117">
            <v>-955753</v>
          </cell>
        </row>
        <row r="118">
          <cell r="F118" t="str">
            <v>NCMI10325972</v>
          </cell>
          <cell r="G118" t="str">
            <v>9432530727</v>
          </cell>
          <cell r="H118" t="str">
            <v xml:space="preserve">  1</v>
          </cell>
          <cell r="I118" t="str">
            <v>NOTA COL</v>
          </cell>
          <cell r="J118" t="str">
            <v>551</v>
          </cell>
          <cell r="K118">
            <v>-985282</v>
          </cell>
        </row>
        <row r="119">
          <cell r="F119" t="str">
            <v>768336</v>
          </cell>
          <cell r="G119" t="str">
            <v>1200004881</v>
          </cell>
          <cell r="H119" t="str">
            <v xml:space="preserve"> 42</v>
          </cell>
          <cell r="I119" t="str">
            <v>AVERIA</v>
          </cell>
          <cell r="J119" t="str">
            <v>522</v>
          </cell>
          <cell r="K119">
            <v>59150</v>
          </cell>
        </row>
        <row r="120">
          <cell r="F120" t="str">
            <v>WF#164999 140425</v>
          </cell>
          <cell r="G120" t="str">
            <v>1100047112</v>
          </cell>
          <cell r="H120" t="str">
            <v xml:space="preserve">  1</v>
          </cell>
          <cell r="I120" t="str">
            <v>NOTA COL</v>
          </cell>
          <cell r="J120" t="str">
            <v>522</v>
          </cell>
          <cell r="K120">
            <v>-33608</v>
          </cell>
        </row>
        <row r="121">
          <cell r="F121" t="str">
            <v>781611</v>
          </cell>
          <cell r="G121" t="str">
            <v>1200005537</v>
          </cell>
          <cell r="H121" t="str">
            <v xml:space="preserve"> 54</v>
          </cell>
          <cell r="I121" t="str">
            <v>AVERIA</v>
          </cell>
          <cell r="J121" t="str">
            <v>522</v>
          </cell>
          <cell r="K121">
            <v>107500</v>
          </cell>
        </row>
        <row r="122">
          <cell r="F122" t="str">
            <v>781611</v>
          </cell>
          <cell r="G122" t="str">
            <v>1200005537</v>
          </cell>
          <cell r="H122" t="str">
            <v xml:space="preserve"> 53</v>
          </cell>
          <cell r="I122" t="str">
            <v>AVERIA</v>
          </cell>
          <cell r="J122" t="str">
            <v>522</v>
          </cell>
          <cell r="K122">
            <v>32639</v>
          </cell>
        </row>
        <row r="123">
          <cell r="F123" t="str">
            <v>781611</v>
          </cell>
          <cell r="G123" t="str">
            <v>1200005537</v>
          </cell>
          <cell r="H123" t="str">
            <v xml:space="preserve"> 50</v>
          </cell>
          <cell r="I123" t="str">
            <v>AVERIA</v>
          </cell>
          <cell r="J123" t="str">
            <v>522</v>
          </cell>
          <cell r="K123">
            <v>31860</v>
          </cell>
        </row>
        <row r="124">
          <cell r="F124" t="str">
            <v>NCMI10327854</v>
          </cell>
          <cell r="G124" t="str">
            <v>9433216160</v>
          </cell>
          <cell r="H124" t="str">
            <v xml:space="preserve">  1</v>
          </cell>
          <cell r="I124" t="str">
            <v>NOTA COL</v>
          </cell>
          <cell r="J124" t="str">
            <v>551</v>
          </cell>
          <cell r="K124">
            <v>-442286</v>
          </cell>
        </row>
        <row r="125">
          <cell r="F125" t="str">
            <v>NCMI10328256</v>
          </cell>
          <cell r="G125" t="str">
            <v>9433396349</v>
          </cell>
          <cell r="H125" t="str">
            <v xml:space="preserve">  1</v>
          </cell>
          <cell r="I125" t="str">
            <v>NOTA COL</v>
          </cell>
          <cell r="J125" t="str">
            <v>551</v>
          </cell>
          <cell r="K125">
            <v>-126151</v>
          </cell>
        </row>
        <row r="126">
          <cell r="F126" t="str">
            <v>255020469</v>
          </cell>
          <cell r="G126" t="str">
            <v>1100052666</v>
          </cell>
          <cell r="H126" t="str">
            <v xml:space="preserve">  9</v>
          </cell>
          <cell r="I126" t="str">
            <v>AVERIA</v>
          </cell>
          <cell r="J126" t="str">
            <v>522</v>
          </cell>
          <cell r="K126">
            <v>78093</v>
          </cell>
        </row>
        <row r="127">
          <cell r="F127" t="str">
            <v>255020469</v>
          </cell>
          <cell r="G127" t="str">
            <v>1100052666</v>
          </cell>
          <cell r="H127" t="str">
            <v xml:space="preserve">  6</v>
          </cell>
          <cell r="I127" t="str">
            <v>AVERIA</v>
          </cell>
          <cell r="J127" t="str">
            <v>522</v>
          </cell>
          <cell r="K127">
            <v>31860</v>
          </cell>
        </row>
        <row r="128">
          <cell r="F128" t="str">
            <v>255020469</v>
          </cell>
          <cell r="G128" t="str">
            <v>1100052666</v>
          </cell>
          <cell r="H128" t="str">
            <v xml:space="preserve">  8</v>
          </cell>
          <cell r="I128" t="str">
            <v>AVERIA</v>
          </cell>
          <cell r="J128" t="str">
            <v>522</v>
          </cell>
          <cell r="K128">
            <v>29575</v>
          </cell>
        </row>
        <row r="129">
          <cell r="F129" t="str">
            <v>WF#167198 30525</v>
          </cell>
          <cell r="G129" t="str">
            <v>1100071568</v>
          </cell>
          <cell r="H129" t="str">
            <v xml:space="preserve">  1</v>
          </cell>
          <cell r="I129" t="str">
            <v>FACTURA PROVEEDOR</v>
          </cell>
          <cell r="J129" t="str">
            <v>CSB</v>
          </cell>
          <cell r="K129">
            <v>-2016000</v>
          </cell>
        </row>
        <row r="130">
          <cell r="F130" t="str">
            <v>WF#167198 30525</v>
          </cell>
          <cell r="G130" t="str">
            <v>1100071781</v>
          </cell>
          <cell r="H130" t="str">
            <v xml:space="preserve">  1</v>
          </cell>
          <cell r="I130" t="str">
            <v>FACTURA PROVEEDOR</v>
          </cell>
          <cell r="J130" t="str">
            <v>CSB</v>
          </cell>
          <cell r="K130">
            <v>-1004356.6</v>
          </cell>
        </row>
        <row r="131">
          <cell r="F131" t="str">
            <v>WF#166415 15525</v>
          </cell>
          <cell r="G131" t="str">
            <v>1100061225</v>
          </cell>
          <cell r="H131" t="str">
            <v xml:space="preserve">  1</v>
          </cell>
          <cell r="I131" t="str">
            <v>FACTURA PROVEEDOR</v>
          </cell>
          <cell r="J131" t="str">
            <v>CSB</v>
          </cell>
          <cell r="K131">
            <v>-585000</v>
          </cell>
        </row>
        <row r="132">
          <cell r="F132" t="str">
            <v>WF#166415 15525</v>
          </cell>
          <cell r="G132" t="str">
            <v>1100061226</v>
          </cell>
          <cell r="H132" t="str">
            <v xml:space="preserve">  1</v>
          </cell>
          <cell r="I132" t="str">
            <v>FACTURA PROVEEDOR</v>
          </cell>
          <cell r="J132" t="str">
            <v>CSB</v>
          </cell>
          <cell r="K132">
            <v>-458359.65</v>
          </cell>
        </row>
        <row r="133">
          <cell r="F133" t="str">
            <v>WF#167198 30525</v>
          </cell>
          <cell r="G133" t="str">
            <v>1100071527</v>
          </cell>
          <cell r="H133" t="str">
            <v xml:space="preserve">  1</v>
          </cell>
          <cell r="I133" t="str">
            <v>FACTURA PROVEEDOR</v>
          </cell>
          <cell r="J133" t="str">
            <v>CSB</v>
          </cell>
          <cell r="K133">
            <v>-187389.47</v>
          </cell>
        </row>
        <row r="134">
          <cell r="F134" t="str">
            <v>WF#167198 30525</v>
          </cell>
          <cell r="G134" t="str">
            <v>1100071536</v>
          </cell>
          <cell r="H134" t="str">
            <v xml:space="preserve">  1</v>
          </cell>
          <cell r="I134" t="str">
            <v>FACTURA PROVEEDOR</v>
          </cell>
          <cell r="J134" t="str">
            <v>CSB</v>
          </cell>
          <cell r="K134">
            <v>-138076.76999999999</v>
          </cell>
        </row>
        <row r="135">
          <cell r="F135" t="str">
            <v>WF#166415 15525</v>
          </cell>
          <cell r="G135" t="str">
            <v>1100061227</v>
          </cell>
          <cell r="H135" t="str">
            <v xml:space="preserve">  1</v>
          </cell>
          <cell r="I135" t="str">
            <v>FACTURA PROVEEDOR</v>
          </cell>
          <cell r="J135" t="str">
            <v>CSB</v>
          </cell>
          <cell r="K135">
            <v>-105073.5</v>
          </cell>
        </row>
        <row r="136">
          <cell r="F136" t="str">
            <v>WF#166415 15525</v>
          </cell>
          <cell r="G136" t="str">
            <v>1100061228</v>
          </cell>
          <cell r="H136" t="str">
            <v xml:space="preserve">  1</v>
          </cell>
          <cell r="I136" t="str">
            <v>FACTURA PROVEEDOR</v>
          </cell>
          <cell r="J136" t="str">
            <v>CSB</v>
          </cell>
          <cell r="K136">
            <v>-66256.149999999994</v>
          </cell>
        </row>
        <row r="137">
          <cell r="F137" t="str">
            <v>WF#166415 15525</v>
          </cell>
          <cell r="G137" t="str">
            <v>1100061229</v>
          </cell>
          <cell r="H137" t="str">
            <v xml:space="preserve">  1</v>
          </cell>
          <cell r="I137" t="str">
            <v>FACTURA PROVEEDOR</v>
          </cell>
          <cell r="J137" t="str">
            <v>CSB</v>
          </cell>
          <cell r="K137">
            <v>-66014.399999999994</v>
          </cell>
        </row>
        <row r="138">
          <cell r="F138" t="str">
            <v>WF#166415 15525</v>
          </cell>
          <cell r="G138" t="str">
            <v>1100061230</v>
          </cell>
          <cell r="H138" t="str">
            <v xml:space="preserve">  1</v>
          </cell>
          <cell r="I138" t="str">
            <v>FACTURA PROVEEDOR</v>
          </cell>
          <cell r="J138" t="str">
            <v>CSB</v>
          </cell>
          <cell r="K138">
            <v>-34509.25</v>
          </cell>
        </row>
        <row r="139">
          <cell r="F139" t="str">
            <v>NCMI10328891</v>
          </cell>
          <cell r="G139" t="str">
            <v>9433716478</v>
          </cell>
          <cell r="H139" t="str">
            <v xml:space="preserve">  1</v>
          </cell>
          <cell r="I139" t="str">
            <v>NOTA COL</v>
          </cell>
          <cell r="J139" t="str">
            <v>522</v>
          </cell>
          <cell r="K139">
            <v>-176896.25</v>
          </cell>
        </row>
        <row r="140">
          <cell r="F140" t="str">
            <v>NCM11133271</v>
          </cell>
          <cell r="G140" t="str">
            <v>9433765896</v>
          </cell>
          <cell r="H140" t="str">
            <v xml:space="preserve">  1</v>
          </cell>
          <cell r="I140" t="str">
            <v>NOTA</v>
          </cell>
          <cell r="J140" t="str">
            <v>659</v>
          </cell>
          <cell r="K140">
            <v>-35833</v>
          </cell>
        </row>
        <row r="141">
          <cell r="F141" t="str">
            <v>NCM11133259</v>
          </cell>
          <cell r="G141" t="str">
            <v>9433765834</v>
          </cell>
          <cell r="H141" t="str">
            <v xml:space="preserve">  1</v>
          </cell>
          <cell r="I141" t="str">
            <v>NOTA</v>
          </cell>
          <cell r="J141" t="str">
            <v>659</v>
          </cell>
          <cell r="K141">
            <v>-29575</v>
          </cell>
        </row>
        <row r="142">
          <cell r="F142" t="str">
            <v>NCMI10330460</v>
          </cell>
          <cell r="G142" t="str">
            <v>9434079887</v>
          </cell>
          <cell r="H142" t="str">
            <v xml:space="preserve">  1</v>
          </cell>
          <cell r="I142" t="str">
            <v>NOTA COL</v>
          </cell>
          <cell r="J142" t="str">
            <v>522</v>
          </cell>
          <cell r="K142">
            <v>-57583.02</v>
          </cell>
        </row>
        <row r="143">
          <cell r="F143" t="str">
            <v>NCM11142817</v>
          </cell>
          <cell r="G143" t="str">
            <v>9434317949</v>
          </cell>
          <cell r="H143" t="str">
            <v xml:space="preserve">  1</v>
          </cell>
          <cell r="I143" t="str">
            <v>NOTA</v>
          </cell>
          <cell r="J143" t="str">
            <v>659</v>
          </cell>
          <cell r="K143">
            <v>-25818226</v>
          </cell>
        </row>
        <row r="144">
          <cell r="F144" t="str">
            <v>817929</v>
          </cell>
          <cell r="G144" t="str">
            <v>1200007386</v>
          </cell>
          <cell r="H144" t="str">
            <v xml:space="preserve">  5</v>
          </cell>
          <cell r="I144" t="str">
            <v>FACTURA PROVEEDOR</v>
          </cell>
          <cell r="J144" t="str">
            <v>CSB</v>
          </cell>
          <cell r="K144">
            <v>23300000</v>
          </cell>
        </row>
        <row r="145">
          <cell r="F145" t="str">
            <v>NCM11142320</v>
          </cell>
          <cell r="G145" t="str">
            <v>9434316238</v>
          </cell>
          <cell r="H145" t="str">
            <v xml:space="preserve">  1</v>
          </cell>
          <cell r="I145" t="str">
            <v>NOTA</v>
          </cell>
          <cell r="J145" t="str">
            <v>659</v>
          </cell>
          <cell r="K145">
            <v>-16283789</v>
          </cell>
        </row>
        <row r="146">
          <cell r="F146" t="str">
            <v>817929</v>
          </cell>
          <cell r="G146" t="str">
            <v>1200007386</v>
          </cell>
          <cell r="H146" t="str">
            <v xml:space="preserve"> 15</v>
          </cell>
          <cell r="I146" t="str">
            <v>AVERIA</v>
          </cell>
          <cell r="J146" t="str">
            <v>522</v>
          </cell>
          <cell r="K146">
            <v>90000</v>
          </cell>
        </row>
        <row r="147">
          <cell r="F147" t="str">
            <v>817929</v>
          </cell>
          <cell r="G147" t="str">
            <v>1200007386</v>
          </cell>
          <cell r="H147" t="str">
            <v xml:space="preserve"> 23</v>
          </cell>
          <cell r="I147" t="str">
            <v>AVERIA</v>
          </cell>
          <cell r="J147" t="str">
            <v>522</v>
          </cell>
          <cell r="K147">
            <v>31860</v>
          </cell>
        </row>
        <row r="148">
          <cell r="F148" t="str">
            <v>817929</v>
          </cell>
          <cell r="G148" t="str">
            <v>1200007386</v>
          </cell>
          <cell r="H148" t="str">
            <v xml:space="preserve"> 20</v>
          </cell>
          <cell r="I148" t="str">
            <v>AVERIA</v>
          </cell>
          <cell r="J148" t="str">
            <v>522</v>
          </cell>
          <cell r="K148">
            <v>22000</v>
          </cell>
        </row>
        <row r="149">
          <cell r="F149" t="str">
            <v>NCM11143310</v>
          </cell>
          <cell r="G149" t="str">
            <v>9434392748</v>
          </cell>
          <cell r="H149" t="str">
            <v xml:space="preserve">  1</v>
          </cell>
          <cell r="I149" t="str">
            <v>NOTA</v>
          </cell>
          <cell r="J149" t="str">
            <v>659</v>
          </cell>
          <cell r="K149">
            <v>-9368533</v>
          </cell>
        </row>
        <row r="150">
          <cell r="F150" t="str">
            <v>NCM11144126</v>
          </cell>
          <cell r="G150" t="str">
            <v>9434423289</v>
          </cell>
          <cell r="H150" t="str">
            <v xml:space="preserve">  1</v>
          </cell>
          <cell r="I150" t="str">
            <v>NOTA</v>
          </cell>
          <cell r="J150" t="str">
            <v>659</v>
          </cell>
          <cell r="K150">
            <v>-114238</v>
          </cell>
        </row>
        <row r="151">
          <cell r="F151" t="str">
            <v>NCM11144151</v>
          </cell>
          <cell r="G151" t="str">
            <v>9434423315</v>
          </cell>
          <cell r="H151" t="str">
            <v xml:space="preserve">  1</v>
          </cell>
          <cell r="I151" t="str">
            <v>NOTA</v>
          </cell>
          <cell r="J151" t="str">
            <v>659</v>
          </cell>
          <cell r="K151">
            <v>-15991</v>
          </cell>
        </row>
        <row r="152">
          <cell r="F152" t="str">
            <v>1</v>
          </cell>
          <cell r="G152" t="str">
            <v>1200007939</v>
          </cell>
          <cell r="H152" t="str">
            <v xml:space="preserve">  2</v>
          </cell>
          <cell r="I152" t="str">
            <v>MAYOR VALOR PAGO</v>
          </cell>
          <cell r="J152" t="str">
            <v>388</v>
          </cell>
          <cell r="K152">
            <v>-9301000</v>
          </cell>
        </row>
        <row r="153">
          <cell r="F153" t="str">
            <v>WF#167087 300525</v>
          </cell>
          <cell r="G153" t="str">
            <v>1100071172</v>
          </cell>
          <cell r="H153" t="str">
            <v xml:space="preserve">  1</v>
          </cell>
          <cell r="I153" t="str">
            <v>IMPUESTOS</v>
          </cell>
          <cell r="J153" t="str">
            <v>WHT</v>
          </cell>
          <cell r="K153">
            <v>47721</v>
          </cell>
        </row>
        <row r="154">
          <cell r="F154" t="str">
            <v>WF#167087 300525</v>
          </cell>
          <cell r="G154" t="str">
            <v>1100071173</v>
          </cell>
          <cell r="H154" t="str">
            <v xml:space="preserve">  1</v>
          </cell>
          <cell r="I154" t="str">
            <v>REINTEGRO</v>
          </cell>
          <cell r="J154" t="str">
            <v>CSR</v>
          </cell>
          <cell r="K154">
            <v>47721</v>
          </cell>
        </row>
        <row r="155">
          <cell r="F155" t="str">
            <v>WF#167345 310525</v>
          </cell>
          <cell r="G155" t="str">
            <v>1100072624</v>
          </cell>
          <cell r="H155" t="str">
            <v xml:space="preserve">  1</v>
          </cell>
          <cell r="I155" t="str">
            <v>IMPUESTOS</v>
          </cell>
          <cell r="J155" t="str">
            <v>WHT</v>
          </cell>
          <cell r="K155">
            <v>1729616.16</v>
          </cell>
        </row>
        <row r="156">
          <cell r="F156" t="str">
            <v>WF#167345 310525</v>
          </cell>
          <cell r="G156" t="str">
            <v>1100072623</v>
          </cell>
          <cell r="H156" t="str">
            <v xml:space="preserve">  1</v>
          </cell>
          <cell r="I156" t="str">
            <v>IMPUESTOS</v>
          </cell>
          <cell r="J156" t="str">
            <v>WHT</v>
          </cell>
          <cell r="K156">
            <v>752655.13</v>
          </cell>
        </row>
        <row r="157">
          <cell r="F157" t="str">
            <v>NCMI10332392</v>
          </cell>
          <cell r="G157" t="str">
            <v>9434863211</v>
          </cell>
          <cell r="H157" t="str">
            <v xml:space="preserve">  1</v>
          </cell>
          <cell r="I157" t="str">
            <v>NOTA COL</v>
          </cell>
          <cell r="J157" t="str">
            <v>551</v>
          </cell>
          <cell r="K157">
            <v>-6565666</v>
          </cell>
        </row>
        <row r="158">
          <cell r="F158" t="str">
            <v>NCMI10332391</v>
          </cell>
          <cell r="G158" t="str">
            <v>9434863189</v>
          </cell>
          <cell r="H158" t="str">
            <v xml:space="preserve">  1</v>
          </cell>
          <cell r="I158" t="str">
            <v>NOTA COL</v>
          </cell>
          <cell r="J158" t="str">
            <v>551</v>
          </cell>
          <cell r="K158">
            <v>-1381793.36</v>
          </cell>
        </row>
        <row r="159">
          <cell r="F159" t="str">
            <v>NCMI10332412</v>
          </cell>
          <cell r="G159" t="str">
            <v>9434863518</v>
          </cell>
          <cell r="H159" t="str">
            <v xml:space="preserve">  1</v>
          </cell>
          <cell r="I159" t="str">
            <v>NOTA COL</v>
          </cell>
          <cell r="J159" t="str">
            <v>551</v>
          </cell>
          <cell r="K159">
            <v>-230418</v>
          </cell>
        </row>
        <row r="160">
          <cell r="F160" t="str">
            <v>NCMI10332264</v>
          </cell>
          <cell r="G160" t="str">
            <v>9434841156</v>
          </cell>
          <cell r="H160" t="str">
            <v xml:space="preserve">  1</v>
          </cell>
          <cell r="I160" t="str">
            <v>NOTA COL</v>
          </cell>
          <cell r="J160" t="str">
            <v>551</v>
          </cell>
          <cell r="K160">
            <v>-173988</v>
          </cell>
        </row>
        <row r="161">
          <cell r="F161" t="str">
            <v>NCMI10333187</v>
          </cell>
          <cell r="G161" t="str">
            <v>9435092020</v>
          </cell>
          <cell r="H161" t="str">
            <v xml:space="preserve">  1</v>
          </cell>
          <cell r="I161" t="str">
            <v>NOTA COL</v>
          </cell>
          <cell r="J161" t="str">
            <v>551</v>
          </cell>
          <cell r="K161">
            <v>-2176039</v>
          </cell>
        </row>
        <row r="162">
          <cell r="F162" t="str">
            <v>NCM11160465</v>
          </cell>
          <cell r="G162" t="str">
            <v>9435386440</v>
          </cell>
          <cell r="H162" t="str">
            <v xml:space="preserve">  1</v>
          </cell>
          <cell r="I162" t="str">
            <v>NOTA</v>
          </cell>
          <cell r="J162" t="str">
            <v>659</v>
          </cell>
          <cell r="K162">
            <v>-15904595</v>
          </cell>
        </row>
        <row r="163">
          <cell r="F163" t="str">
            <v>NCM11160460</v>
          </cell>
          <cell r="G163" t="str">
            <v>9435386435</v>
          </cell>
          <cell r="H163" t="str">
            <v xml:space="preserve">  1</v>
          </cell>
          <cell r="I163" t="str">
            <v>NOTA</v>
          </cell>
          <cell r="J163" t="str">
            <v>659</v>
          </cell>
          <cell r="K163">
            <v>-7864959</v>
          </cell>
        </row>
        <row r="164">
          <cell r="F164" t="str">
            <v>WF#168107 230625</v>
          </cell>
          <cell r="G164" t="str">
            <v>1100082263</v>
          </cell>
          <cell r="H164" t="str">
            <v xml:space="preserve">  1</v>
          </cell>
          <cell r="I164" t="str">
            <v>NOTA COL</v>
          </cell>
          <cell r="J164" t="str">
            <v>551</v>
          </cell>
          <cell r="K164">
            <v>-604797</v>
          </cell>
        </row>
        <row r="165">
          <cell r="F165" t="str">
            <v>WF#168107 230625</v>
          </cell>
          <cell r="G165" t="str">
            <v>1100082264</v>
          </cell>
          <cell r="H165" t="str">
            <v xml:space="preserve">  1</v>
          </cell>
          <cell r="I165" t="str">
            <v>NOTA COL</v>
          </cell>
          <cell r="J165" t="str">
            <v>551</v>
          </cell>
          <cell r="K165">
            <v>-157486</v>
          </cell>
        </row>
        <row r="166">
          <cell r="F166" t="str">
            <v>852502</v>
          </cell>
          <cell r="G166" t="str">
            <v>1200008931</v>
          </cell>
          <cell r="H166" t="str">
            <v xml:space="preserve"> 38</v>
          </cell>
          <cell r="I166" t="str">
            <v>FACTURA PROVEEDOR</v>
          </cell>
          <cell r="J166" t="str">
            <v>CSB</v>
          </cell>
          <cell r="K166">
            <v>46600000</v>
          </cell>
        </row>
        <row r="167">
          <cell r="F167" t="str">
            <v>852502</v>
          </cell>
          <cell r="G167" t="str">
            <v>1200008931</v>
          </cell>
          <cell r="H167" t="str">
            <v xml:space="preserve"> 23</v>
          </cell>
          <cell r="I167" t="str">
            <v>MAYOR VALOR PAGO</v>
          </cell>
          <cell r="J167" t="str">
            <v>388</v>
          </cell>
          <cell r="K167">
            <v>-11773931</v>
          </cell>
        </row>
        <row r="168">
          <cell r="F168" t="str">
            <v>NCM11167466</v>
          </cell>
          <cell r="G168" t="str">
            <v>9435548001</v>
          </cell>
          <cell r="H168" t="str">
            <v xml:space="preserve">  1</v>
          </cell>
          <cell r="I168" t="str">
            <v>NOTA</v>
          </cell>
          <cell r="J168" t="str">
            <v>659</v>
          </cell>
          <cell r="K168">
            <v>-68412760</v>
          </cell>
        </row>
        <row r="169">
          <cell r="F169" t="str">
            <v>NCM11167467</v>
          </cell>
          <cell r="G169" t="str">
            <v>9435548002</v>
          </cell>
          <cell r="H169" t="str">
            <v xml:space="preserve">  1</v>
          </cell>
          <cell r="I169" t="str">
            <v>NOTA</v>
          </cell>
          <cell r="J169" t="str">
            <v>659</v>
          </cell>
          <cell r="K169">
            <v>-20553484</v>
          </cell>
        </row>
        <row r="170">
          <cell r="F170" t="str">
            <v>NCM11169315</v>
          </cell>
          <cell r="G170" t="str">
            <v>9435558954</v>
          </cell>
          <cell r="H170" t="str">
            <v xml:space="preserve">  1</v>
          </cell>
          <cell r="I170" t="str">
            <v>NOTA</v>
          </cell>
          <cell r="J170" t="str">
            <v>659</v>
          </cell>
          <cell r="K170">
            <v>-7732272</v>
          </cell>
        </row>
        <row r="171">
          <cell r="F171" t="str">
            <v>WF#171257 30825</v>
          </cell>
          <cell r="G171" t="str">
            <v>1100123036</v>
          </cell>
          <cell r="H171" t="str">
            <v xml:space="preserve">  1</v>
          </cell>
          <cell r="I171" t="str">
            <v>FACTURA PROVEEDOR</v>
          </cell>
          <cell r="J171" t="str">
            <v>CSB</v>
          </cell>
          <cell r="K171">
            <v>-4966270.67</v>
          </cell>
        </row>
        <row r="172">
          <cell r="F172" t="str">
            <v>WF#171257 30825</v>
          </cell>
          <cell r="G172" t="str">
            <v>1100123049</v>
          </cell>
          <cell r="H172" t="str">
            <v xml:space="preserve">  1</v>
          </cell>
          <cell r="I172" t="str">
            <v>FACTURA PROVEEDOR</v>
          </cell>
          <cell r="J172" t="str">
            <v>CSB</v>
          </cell>
          <cell r="K172">
            <v>-4182121.9</v>
          </cell>
        </row>
        <row r="173">
          <cell r="F173" t="str">
            <v>WF#171257 30825</v>
          </cell>
          <cell r="G173" t="str">
            <v>1100123051</v>
          </cell>
          <cell r="H173" t="str">
            <v xml:space="preserve">  1</v>
          </cell>
          <cell r="I173" t="str">
            <v>FACTURA PROVEEDOR</v>
          </cell>
          <cell r="J173" t="str">
            <v>CSB</v>
          </cell>
          <cell r="K173">
            <v>-3659357.02</v>
          </cell>
        </row>
        <row r="174">
          <cell r="F174" t="str">
            <v>WF#171257 30825</v>
          </cell>
          <cell r="G174" t="str">
            <v>1100123105</v>
          </cell>
          <cell r="H174" t="str">
            <v xml:space="preserve">  1</v>
          </cell>
          <cell r="I174" t="str">
            <v>FACTURA PROVEEDOR</v>
          </cell>
          <cell r="J174" t="str">
            <v>CSB</v>
          </cell>
          <cell r="K174">
            <v>-976122.17</v>
          </cell>
        </row>
        <row r="175">
          <cell r="F175" t="str">
            <v>WF#171257 30825</v>
          </cell>
          <cell r="G175" t="str">
            <v>1100123134</v>
          </cell>
          <cell r="H175" t="str">
            <v xml:space="preserve">  1</v>
          </cell>
          <cell r="I175" t="str">
            <v>FACTURA PROVEEDOR</v>
          </cell>
          <cell r="J175" t="str">
            <v>CSB</v>
          </cell>
          <cell r="K175">
            <v>-307069</v>
          </cell>
        </row>
        <row r="176">
          <cell r="F176" t="str">
            <v>WF#171257 30825</v>
          </cell>
          <cell r="G176" t="str">
            <v>1100123135</v>
          </cell>
          <cell r="H176" t="str">
            <v xml:space="preserve">  1</v>
          </cell>
          <cell r="I176" t="str">
            <v>FACTURA PROVEEDOR</v>
          </cell>
          <cell r="J176" t="str">
            <v>CSB</v>
          </cell>
          <cell r="K176">
            <v>-307069</v>
          </cell>
        </row>
        <row r="177">
          <cell r="F177" t="str">
            <v>868191</v>
          </cell>
          <cell r="G177" t="str">
            <v>1200009689</v>
          </cell>
          <cell r="H177" t="str">
            <v xml:space="preserve"> 30</v>
          </cell>
          <cell r="I177" t="str">
            <v>FACTURA PROVEEDOR</v>
          </cell>
          <cell r="J177" t="str">
            <v>CSB</v>
          </cell>
          <cell r="K177">
            <v>8005545</v>
          </cell>
        </row>
        <row r="178">
          <cell r="F178" t="str">
            <v>868191</v>
          </cell>
          <cell r="G178" t="str">
            <v>1200009689</v>
          </cell>
          <cell r="H178" t="str">
            <v xml:space="preserve"> 49</v>
          </cell>
          <cell r="I178" t="str">
            <v>AVERIA</v>
          </cell>
          <cell r="J178" t="str">
            <v>522</v>
          </cell>
          <cell r="K178">
            <v>4966271</v>
          </cell>
        </row>
        <row r="179">
          <cell r="F179" t="str">
            <v>868191</v>
          </cell>
          <cell r="G179" t="str">
            <v>1200009689</v>
          </cell>
          <cell r="H179" t="str">
            <v xml:space="preserve"> 50</v>
          </cell>
          <cell r="I179" t="str">
            <v>AVERIA</v>
          </cell>
          <cell r="J179" t="str">
            <v>522</v>
          </cell>
          <cell r="K179">
            <v>4182122</v>
          </cell>
        </row>
        <row r="180">
          <cell r="F180" t="str">
            <v>868191</v>
          </cell>
          <cell r="G180" t="str">
            <v>1200009689</v>
          </cell>
          <cell r="H180" t="str">
            <v xml:space="preserve"> 51</v>
          </cell>
          <cell r="I180" t="str">
            <v>AVERIA</v>
          </cell>
          <cell r="J180" t="str">
            <v>522</v>
          </cell>
          <cell r="K180">
            <v>3659357</v>
          </cell>
        </row>
        <row r="181">
          <cell r="F181" t="str">
            <v>868191</v>
          </cell>
          <cell r="G181" t="str">
            <v>1200009689</v>
          </cell>
          <cell r="H181" t="str">
            <v xml:space="preserve"> 52</v>
          </cell>
          <cell r="I181" t="str">
            <v>AVERIA</v>
          </cell>
          <cell r="J181" t="str">
            <v>522</v>
          </cell>
          <cell r="K181">
            <v>976122</v>
          </cell>
        </row>
        <row r="182">
          <cell r="F182" t="str">
            <v>868191</v>
          </cell>
          <cell r="G182" t="str">
            <v>1200009689</v>
          </cell>
          <cell r="H182" t="str">
            <v xml:space="preserve"> 53</v>
          </cell>
          <cell r="I182" t="str">
            <v>RECHAZO</v>
          </cell>
          <cell r="J182" t="str">
            <v>551</v>
          </cell>
          <cell r="K182">
            <v>317750</v>
          </cell>
        </row>
        <row r="183">
          <cell r="F183" t="str">
            <v>868191</v>
          </cell>
          <cell r="G183" t="str">
            <v>1200009689</v>
          </cell>
          <cell r="H183" t="str">
            <v xml:space="preserve"> 54</v>
          </cell>
          <cell r="I183" t="str">
            <v>RECHAZO</v>
          </cell>
          <cell r="J183" t="str">
            <v>551</v>
          </cell>
          <cell r="K183">
            <v>317750</v>
          </cell>
        </row>
        <row r="184">
          <cell r="F184" t="str">
            <v>868191</v>
          </cell>
          <cell r="G184" t="str">
            <v>1200009689</v>
          </cell>
          <cell r="H184" t="str">
            <v xml:space="preserve"> 61</v>
          </cell>
          <cell r="I184" t="str">
            <v>AVERIA</v>
          </cell>
          <cell r="J184" t="str">
            <v>522</v>
          </cell>
          <cell r="K184">
            <v>59136</v>
          </cell>
        </row>
        <row r="185">
          <cell r="F185" t="str">
            <v>868191</v>
          </cell>
          <cell r="G185" t="str">
            <v>1200009689</v>
          </cell>
          <cell r="H185" t="str">
            <v xml:space="preserve"> 13</v>
          </cell>
          <cell r="I185" t="str">
            <v>RECHAZO</v>
          </cell>
          <cell r="J185" t="str">
            <v>551</v>
          </cell>
          <cell r="K185">
            <v>36536</v>
          </cell>
        </row>
        <row r="186">
          <cell r="F186" t="str">
            <v>868191</v>
          </cell>
          <cell r="G186" t="str">
            <v>1200009689</v>
          </cell>
          <cell r="H186" t="str">
            <v xml:space="preserve"> 58</v>
          </cell>
          <cell r="I186" t="str">
            <v>AVERIA</v>
          </cell>
          <cell r="J186" t="str">
            <v>522</v>
          </cell>
          <cell r="K186">
            <v>32639</v>
          </cell>
        </row>
        <row r="187">
          <cell r="F187" t="str">
            <v>868191</v>
          </cell>
          <cell r="G187" t="str">
            <v>1200009689</v>
          </cell>
          <cell r="H187" t="str">
            <v xml:space="preserve"> 59</v>
          </cell>
          <cell r="I187" t="str">
            <v>AVERIA</v>
          </cell>
          <cell r="J187" t="str">
            <v>522</v>
          </cell>
          <cell r="K187">
            <v>29575</v>
          </cell>
        </row>
        <row r="188">
          <cell r="F188" t="str">
            <v>NCMI10335038</v>
          </cell>
          <cell r="G188" t="str">
            <v>9436129475</v>
          </cell>
          <cell r="H188" t="str">
            <v xml:space="preserve">  1</v>
          </cell>
          <cell r="I188" t="str">
            <v>NOTA COL</v>
          </cell>
          <cell r="J188" t="str">
            <v>551</v>
          </cell>
          <cell r="K188">
            <v>-2129405</v>
          </cell>
        </row>
        <row r="189">
          <cell r="F189" t="str">
            <v>NCMI10335069</v>
          </cell>
          <cell r="G189" t="str">
            <v>9436129506</v>
          </cell>
          <cell r="H189" t="str">
            <v xml:space="preserve">  1</v>
          </cell>
          <cell r="I189" t="str">
            <v>NOTA COL</v>
          </cell>
          <cell r="J189" t="str">
            <v>551</v>
          </cell>
          <cell r="K189">
            <v>-199199.96</v>
          </cell>
        </row>
        <row r="190">
          <cell r="F190" t="str">
            <v>NCMI10335068</v>
          </cell>
          <cell r="G190" t="str">
            <v>9436129505</v>
          </cell>
          <cell r="H190" t="str">
            <v xml:space="preserve">  1</v>
          </cell>
          <cell r="I190" t="str">
            <v>NOTA COL</v>
          </cell>
          <cell r="J190" t="str">
            <v>551</v>
          </cell>
          <cell r="K190">
            <v>-195830.8</v>
          </cell>
        </row>
        <row r="191">
          <cell r="F191" t="str">
            <v>NCMI10335642</v>
          </cell>
          <cell r="G191" t="str">
            <v>9436263094</v>
          </cell>
          <cell r="H191" t="str">
            <v xml:space="preserve">  1</v>
          </cell>
          <cell r="I191" t="str">
            <v>NOTA COL</v>
          </cell>
          <cell r="J191" t="str">
            <v>551</v>
          </cell>
          <cell r="K191">
            <v>-195830.8</v>
          </cell>
        </row>
        <row r="192">
          <cell r="F192" t="str">
            <v>NCMI10335881</v>
          </cell>
          <cell r="G192" t="str">
            <v>9436355131</v>
          </cell>
          <cell r="H192" t="str">
            <v xml:space="preserve">  1</v>
          </cell>
          <cell r="I192" t="str">
            <v>NOTA COL</v>
          </cell>
          <cell r="J192" t="str">
            <v>551</v>
          </cell>
          <cell r="K192">
            <v>-143000.04999999999</v>
          </cell>
        </row>
        <row r="193">
          <cell r="F193" t="str">
            <v>NCMI10336132</v>
          </cell>
          <cell r="G193" t="str">
            <v>9436402724</v>
          </cell>
          <cell r="H193" t="str">
            <v xml:space="preserve">  1</v>
          </cell>
          <cell r="I193" t="str">
            <v>NOTA COL</v>
          </cell>
          <cell r="J193" t="str">
            <v>551</v>
          </cell>
          <cell r="K193">
            <v>-500267</v>
          </cell>
        </row>
        <row r="194">
          <cell r="F194" t="str">
            <v>NCM11176222</v>
          </cell>
          <cell r="G194" t="str">
            <v>9436434685</v>
          </cell>
          <cell r="H194" t="str">
            <v xml:space="preserve">  1</v>
          </cell>
          <cell r="I194" t="str">
            <v>NOTA</v>
          </cell>
          <cell r="J194" t="str">
            <v>659</v>
          </cell>
          <cell r="K194">
            <v>-149984714</v>
          </cell>
        </row>
        <row r="195">
          <cell r="F195" t="str">
            <v>NCM11176294</v>
          </cell>
          <cell r="G195" t="str">
            <v>9436434789</v>
          </cell>
          <cell r="H195" t="str">
            <v xml:space="preserve">  1</v>
          </cell>
          <cell r="I195" t="str">
            <v>NOTA</v>
          </cell>
          <cell r="J195" t="str">
            <v>659</v>
          </cell>
          <cell r="K195">
            <v>-95663668</v>
          </cell>
        </row>
        <row r="196">
          <cell r="F196" t="str">
            <v>NCM11176292</v>
          </cell>
          <cell r="G196" t="str">
            <v>9436434787</v>
          </cell>
          <cell r="H196" t="str">
            <v xml:space="preserve">  1</v>
          </cell>
          <cell r="I196" t="str">
            <v>NOTA</v>
          </cell>
          <cell r="J196" t="str">
            <v>659</v>
          </cell>
          <cell r="K196">
            <v>-57148944</v>
          </cell>
        </row>
        <row r="197">
          <cell r="F197" t="str">
            <v>NCM11176279</v>
          </cell>
          <cell r="G197" t="str">
            <v>9436434754</v>
          </cell>
          <cell r="H197" t="str">
            <v xml:space="preserve">  1</v>
          </cell>
          <cell r="I197" t="str">
            <v>NOTA</v>
          </cell>
          <cell r="J197" t="str">
            <v>659</v>
          </cell>
          <cell r="K197">
            <v>-35319748</v>
          </cell>
        </row>
        <row r="198">
          <cell r="F198" t="str">
            <v>NCM11176280</v>
          </cell>
          <cell r="G198" t="str">
            <v>9436434755</v>
          </cell>
          <cell r="H198" t="str">
            <v xml:space="preserve">  1</v>
          </cell>
          <cell r="I198" t="str">
            <v>NOTA</v>
          </cell>
          <cell r="J198" t="str">
            <v>659</v>
          </cell>
          <cell r="K198">
            <v>-17166027</v>
          </cell>
        </row>
        <row r="199">
          <cell r="F199" t="str">
            <v>NCMI10336182</v>
          </cell>
          <cell r="G199" t="str">
            <v>9436444499</v>
          </cell>
          <cell r="H199" t="str">
            <v xml:space="preserve">  1</v>
          </cell>
          <cell r="I199" t="str">
            <v>NOTA COL</v>
          </cell>
          <cell r="J199" t="str">
            <v>551</v>
          </cell>
          <cell r="K199">
            <v>-2852280</v>
          </cell>
        </row>
        <row r="200">
          <cell r="F200" t="str">
            <v>NCMI10336218</v>
          </cell>
          <cell r="G200" t="str">
            <v>9436474598</v>
          </cell>
          <cell r="H200" t="str">
            <v xml:space="preserve">  1</v>
          </cell>
          <cell r="I200" t="str">
            <v>NOTA COL</v>
          </cell>
          <cell r="J200" t="str">
            <v>551</v>
          </cell>
          <cell r="K200">
            <v>-153120.25</v>
          </cell>
        </row>
        <row r="201">
          <cell r="F201" t="str">
            <v>880886</v>
          </cell>
          <cell r="G201" t="str">
            <v>1200010218</v>
          </cell>
          <cell r="H201" t="str">
            <v xml:space="preserve"> 16</v>
          </cell>
          <cell r="I201" t="str">
            <v>VENTAS</v>
          </cell>
          <cell r="J201" t="str">
            <v>987</v>
          </cell>
          <cell r="K201">
            <v>491236561</v>
          </cell>
        </row>
        <row r="202">
          <cell r="F202" t="str">
            <v>880886</v>
          </cell>
          <cell r="G202" t="str">
            <v>1200010218</v>
          </cell>
          <cell r="H202" t="str">
            <v xml:space="preserve"> 17</v>
          </cell>
          <cell r="I202" t="str">
            <v>VENTAS</v>
          </cell>
          <cell r="J202" t="str">
            <v>987</v>
          </cell>
          <cell r="K202">
            <v>100000000</v>
          </cell>
        </row>
        <row r="203">
          <cell r="F203" t="str">
            <v>NCM11188078</v>
          </cell>
          <cell r="G203" t="str">
            <v>9436511661</v>
          </cell>
          <cell r="H203" t="str">
            <v xml:space="preserve">  1</v>
          </cell>
          <cell r="I203" t="str">
            <v>NOTA</v>
          </cell>
          <cell r="J203" t="str">
            <v>659</v>
          </cell>
          <cell r="K203">
            <v>-24769905</v>
          </cell>
        </row>
        <row r="204">
          <cell r="F204" t="str">
            <v>880886</v>
          </cell>
          <cell r="G204" t="str">
            <v>1200010218</v>
          </cell>
          <cell r="H204" t="str">
            <v xml:space="preserve"> 13</v>
          </cell>
          <cell r="I204" t="str">
            <v>VENTAS</v>
          </cell>
          <cell r="J204" t="str">
            <v>987</v>
          </cell>
          <cell r="K204">
            <v>20000000</v>
          </cell>
        </row>
        <row r="205">
          <cell r="F205" t="str">
            <v>NCM11188084</v>
          </cell>
          <cell r="G205" t="str">
            <v>9436511667</v>
          </cell>
          <cell r="H205" t="str">
            <v xml:space="preserve">  1</v>
          </cell>
          <cell r="I205" t="str">
            <v>NOTA</v>
          </cell>
          <cell r="J205" t="str">
            <v>659</v>
          </cell>
          <cell r="K205">
            <v>-19792791</v>
          </cell>
        </row>
        <row r="206">
          <cell r="F206" t="str">
            <v>880886</v>
          </cell>
          <cell r="G206" t="str">
            <v>1200010218</v>
          </cell>
          <cell r="H206" t="str">
            <v xml:space="preserve"> 11</v>
          </cell>
          <cell r="I206" t="str">
            <v>NOTA</v>
          </cell>
          <cell r="J206" t="str">
            <v>659</v>
          </cell>
          <cell r="K206">
            <v>-15319613</v>
          </cell>
        </row>
        <row r="207">
          <cell r="F207" t="str">
            <v>NCM11188097</v>
          </cell>
          <cell r="G207" t="str">
            <v>9436511700</v>
          </cell>
          <cell r="H207" t="str">
            <v xml:space="preserve">  1</v>
          </cell>
          <cell r="I207" t="str">
            <v>NOTA</v>
          </cell>
          <cell r="J207" t="str">
            <v>659</v>
          </cell>
          <cell r="K207">
            <v>-13642774</v>
          </cell>
        </row>
        <row r="208">
          <cell r="F208" t="str">
            <v>880886</v>
          </cell>
          <cell r="G208" t="str">
            <v>1200010218</v>
          </cell>
          <cell r="H208" t="str">
            <v xml:space="preserve"> 15</v>
          </cell>
          <cell r="I208" t="str">
            <v>VENTAS</v>
          </cell>
          <cell r="J208" t="str">
            <v>987</v>
          </cell>
          <cell r="K208">
            <v>11768000</v>
          </cell>
        </row>
        <row r="209">
          <cell r="F209" t="str">
            <v>880886</v>
          </cell>
          <cell r="G209" t="str">
            <v>1200010218</v>
          </cell>
          <cell r="H209" t="str">
            <v xml:space="preserve"> 25</v>
          </cell>
          <cell r="I209" t="str">
            <v>VENTAS</v>
          </cell>
          <cell r="J209" t="str">
            <v>987</v>
          </cell>
          <cell r="K209">
            <v>11098237</v>
          </cell>
        </row>
        <row r="210">
          <cell r="F210" t="str">
            <v>880886</v>
          </cell>
          <cell r="G210" t="str">
            <v>1200010218</v>
          </cell>
          <cell r="H210" t="str">
            <v xml:space="preserve"> 10</v>
          </cell>
          <cell r="I210" t="str">
            <v>NOTA</v>
          </cell>
          <cell r="J210" t="str">
            <v>659</v>
          </cell>
          <cell r="K210">
            <v>-9946857</v>
          </cell>
        </row>
        <row r="211">
          <cell r="F211" t="str">
            <v>NCM11188096</v>
          </cell>
          <cell r="G211" t="str">
            <v>9436511679</v>
          </cell>
          <cell r="H211" t="str">
            <v xml:space="preserve">  1</v>
          </cell>
          <cell r="I211" t="str">
            <v>NOTA</v>
          </cell>
          <cell r="J211" t="str">
            <v>659</v>
          </cell>
          <cell r="K211">
            <v>-1398082</v>
          </cell>
        </row>
        <row r="212">
          <cell r="F212" t="str">
            <v>880886</v>
          </cell>
          <cell r="G212" t="str">
            <v>1200010218</v>
          </cell>
          <cell r="H212" t="str">
            <v xml:space="preserve">  7</v>
          </cell>
          <cell r="I212" t="str">
            <v>AVERIA</v>
          </cell>
          <cell r="J212" t="str">
            <v>522</v>
          </cell>
          <cell r="K212">
            <v>71667</v>
          </cell>
        </row>
        <row r="213">
          <cell r="F213" t="str">
            <v>NCMI10336325</v>
          </cell>
          <cell r="G213" t="str">
            <v>9436584233</v>
          </cell>
          <cell r="H213" t="str">
            <v xml:space="preserve">  1</v>
          </cell>
          <cell r="I213" t="str">
            <v>NOTA COL</v>
          </cell>
          <cell r="J213" t="str">
            <v>551</v>
          </cell>
          <cell r="K213">
            <v>-9227422</v>
          </cell>
        </row>
        <row r="214">
          <cell r="F214" t="str">
            <v>NCMI10336357</v>
          </cell>
          <cell r="G214" t="str">
            <v>9436584275</v>
          </cell>
          <cell r="H214" t="str">
            <v xml:space="preserve">  1</v>
          </cell>
          <cell r="I214" t="str">
            <v>NOTA COL</v>
          </cell>
          <cell r="J214" t="str">
            <v>551</v>
          </cell>
          <cell r="K214">
            <v>-1200960</v>
          </cell>
        </row>
        <row r="215">
          <cell r="F215" t="str">
            <v>WF#169420 220725</v>
          </cell>
          <cell r="G215" t="str">
            <v>1100103409</v>
          </cell>
          <cell r="H215" t="str">
            <v xml:space="preserve">  1</v>
          </cell>
          <cell r="I215" t="str">
            <v>NOTA COL</v>
          </cell>
          <cell r="J215" t="str">
            <v>551</v>
          </cell>
          <cell r="K215">
            <v>-851888.6</v>
          </cell>
        </row>
        <row r="216">
          <cell r="F216" t="str">
            <v>NCMI10336355</v>
          </cell>
          <cell r="G216" t="str">
            <v>9436584273</v>
          </cell>
          <cell r="H216" t="str">
            <v xml:space="preserve">  1</v>
          </cell>
          <cell r="I216" t="str">
            <v>NOTA COL</v>
          </cell>
          <cell r="J216" t="str">
            <v>551</v>
          </cell>
          <cell r="K216">
            <v>-837370</v>
          </cell>
        </row>
        <row r="217">
          <cell r="F217" t="str">
            <v>NCMI10336356</v>
          </cell>
          <cell r="G217" t="str">
            <v>9436584274</v>
          </cell>
          <cell r="H217" t="str">
            <v xml:space="preserve">  1</v>
          </cell>
          <cell r="I217" t="str">
            <v>NOTA COL</v>
          </cell>
          <cell r="J217" t="str">
            <v>551</v>
          </cell>
          <cell r="K217">
            <v>-372298</v>
          </cell>
        </row>
        <row r="218">
          <cell r="F218" t="str">
            <v>NCM11188492</v>
          </cell>
          <cell r="G218" t="str">
            <v>9436632462</v>
          </cell>
          <cell r="H218" t="str">
            <v xml:space="preserve">  1</v>
          </cell>
          <cell r="I218" t="str">
            <v>NOTA</v>
          </cell>
          <cell r="J218" t="str">
            <v>659</v>
          </cell>
          <cell r="K218">
            <v>-183310754</v>
          </cell>
        </row>
        <row r="219">
          <cell r="F219" t="str">
            <v>NCM11188502</v>
          </cell>
          <cell r="G219" t="str">
            <v>9436632614</v>
          </cell>
          <cell r="H219" t="str">
            <v xml:space="preserve">  1</v>
          </cell>
          <cell r="I219" t="str">
            <v>NOTA</v>
          </cell>
          <cell r="J219" t="str">
            <v>659</v>
          </cell>
          <cell r="K219">
            <v>-43822352</v>
          </cell>
        </row>
        <row r="220">
          <cell r="F220" t="str">
            <v>NCM11188501</v>
          </cell>
          <cell r="G220" t="str">
            <v>9436632611</v>
          </cell>
          <cell r="H220" t="str">
            <v xml:space="preserve">  1</v>
          </cell>
          <cell r="I220" t="str">
            <v>NOTA</v>
          </cell>
          <cell r="J220" t="str">
            <v>659</v>
          </cell>
          <cell r="K220">
            <v>-27441210</v>
          </cell>
        </row>
        <row r="221">
          <cell r="F221" t="str">
            <v>NCMI10336551</v>
          </cell>
          <cell r="G221" t="str">
            <v>9436620157</v>
          </cell>
          <cell r="H221" t="str">
            <v xml:space="preserve">  1</v>
          </cell>
          <cell r="I221" t="str">
            <v>NOTA COL</v>
          </cell>
          <cell r="J221" t="str">
            <v>551</v>
          </cell>
          <cell r="K221">
            <v>-168622</v>
          </cell>
        </row>
        <row r="222">
          <cell r="F222" t="str">
            <v>NCMI10336735</v>
          </cell>
          <cell r="G222" t="str">
            <v>9436813310</v>
          </cell>
          <cell r="H222" t="str">
            <v xml:space="preserve">  1</v>
          </cell>
          <cell r="I222" t="str">
            <v>NOTA COL</v>
          </cell>
          <cell r="J222" t="str">
            <v>551</v>
          </cell>
          <cell r="K222">
            <v>-112799.92</v>
          </cell>
        </row>
        <row r="223">
          <cell r="F223" t="str">
            <v>WF#169635 250725</v>
          </cell>
          <cell r="G223" t="str">
            <v>1100105630</v>
          </cell>
          <cell r="H223" t="str">
            <v xml:space="preserve">  1</v>
          </cell>
          <cell r="I223" t="str">
            <v>REINTEGRO</v>
          </cell>
          <cell r="J223" t="str">
            <v>CSR</v>
          </cell>
          <cell r="K223">
            <v>27309</v>
          </cell>
        </row>
        <row r="224">
          <cell r="F224" t="str">
            <v>WF#169635 250725</v>
          </cell>
          <cell r="G224" t="str">
            <v>1100105629</v>
          </cell>
          <cell r="H224" t="str">
            <v xml:space="preserve">  1</v>
          </cell>
          <cell r="I224" t="str">
            <v>REINTEGRO</v>
          </cell>
          <cell r="J224" t="str">
            <v>CSR</v>
          </cell>
          <cell r="K224">
            <v>27309</v>
          </cell>
        </row>
        <row r="225">
          <cell r="F225" t="str">
            <v>NCM11190285</v>
          </cell>
          <cell r="G225" t="str">
            <v>9436879557</v>
          </cell>
          <cell r="H225" t="str">
            <v xml:space="preserve">  1</v>
          </cell>
          <cell r="I225" t="str">
            <v>NOTA</v>
          </cell>
          <cell r="J225" t="str">
            <v>659</v>
          </cell>
          <cell r="K225">
            <v>-26941801</v>
          </cell>
        </row>
        <row r="226">
          <cell r="F226" t="str">
            <v>NCM11190280</v>
          </cell>
          <cell r="G226" t="str">
            <v>9436879426</v>
          </cell>
          <cell r="H226" t="str">
            <v xml:space="preserve">  1</v>
          </cell>
          <cell r="I226" t="str">
            <v>NOTA</v>
          </cell>
          <cell r="J226" t="str">
            <v>659</v>
          </cell>
          <cell r="K226">
            <v>-9934223</v>
          </cell>
        </row>
        <row r="227">
          <cell r="F227" t="str">
            <v>NCMI10336869</v>
          </cell>
          <cell r="G227" t="str">
            <v>9436962037</v>
          </cell>
          <cell r="H227" t="str">
            <v xml:space="preserve">  1</v>
          </cell>
          <cell r="I227" t="str">
            <v>NOTA COL</v>
          </cell>
          <cell r="J227" t="str">
            <v>551</v>
          </cell>
          <cell r="K227">
            <v>-899620</v>
          </cell>
        </row>
        <row r="228">
          <cell r="F228" t="str">
            <v>NCMI10336837</v>
          </cell>
          <cell r="G228" t="str">
            <v>9436961816</v>
          </cell>
          <cell r="H228" t="str">
            <v xml:space="preserve">  1</v>
          </cell>
          <cell r="I228" t="str">
            <v>NOTA COL</v>
          </cell>
          <cell r="J228" t="str">
            <v>551</v>
          </cell>
          <cell r="K228">
            <v>-554879.68000000005</v>
          </cell>
        </row>
        <row r="229">
          <cell r="F229" t="str">
            <v>NCMI10336866</v>
          </cell>
          <cell r="G229" t="str">
            <v>9436962034</v>
          </cell>
          <cell r="H229" t="str">
            <v xml:space="preserve">  1</v>
          </cell>
          <cell r="I229" t="str">
            <v>NOTA COL</v>
          </cell>
          <cell r="J229" t="str">
            <v>551</v>
          </cell>
          <cell r="K229">
            <v>-127820</v>
          </cell>
        </row>
        <row r="230">
          <cell r="F230" t="str">
            <v>45867</v>
          </cell>
          <cell r="G230" t="str">
            <v>1100108218</v>
          </cell>
          <cell r="H230" t="str">
            <v xml:space="preserve"> 18</v>
          </cell>
          <cell r="I230" t="str">
            <v>FACTURA PROVEEDOR</v>
          </cell>
          <cell r="J230" t="str">
            <v>CSB</v>
          </cell>
          <cell r="K230">
            <v>68838119</v>
          </cell>
        </row>
        <row r="231">
          <cell r="F231" t="str">
            <v>NCM11207278</v>
          </cell>
          <cell r="G231" t="str">
            <v>9436988193</v>
          </cell>
          <cell r="H231" t="str">
            <v xml:space="preserve">  1</v>
          </cell>
          <cell r="I231" t="str">
            <v>NOTA</v>
          </cell>
          <cell r="J231" t="str">
            <v>659</v>
          </cell>
          <cell r="K231">
            <v>-47840395</v>
          </cell>
        </row>
        <row r="232">
          <cell r="F232" t="str">
            <v>45867</v>
          </cell>
          <cell r="G232" t="str">
            <v>1100108218</v>
          </cell>
          <cell r="H232" t="str">
            <v xml:space="preserve"> 17</v>
          </cell>
          <cell r="I232" t="str">
            <v>NOTA COL</v>
          </cell>
          <cell r="J232" t="str">
            <v>551</v>
          </cell>
          <cell r="K232">
            <v>-7841318</v>
          </cell>
        </row>
        <row r="233">
          <cell r="F233" t="str">
            <v>NCM11207267</v>
          </cell>
          <cell r="G233" t="str">
            <v>9436988122</v>
          </cell>
          <cell r="H233" t="str">
            <v xml:space="preserve">  1</v>
          </cell>
          <cell r="I233" t="str">
            <v>NOTA</v>
          </cell>
          <cell r="J233" t="str">
            <v>659</v>
          </cell>
          <cell r="K233">
            <v>-4396204</v>
          </cell>
        </row>
        <row r="234">
          <cell r="F234" t="str">
            <v>NCMI10336951</v>
          </cell>
          <cell r="G234" t="str">
            <v>9436991586</v>
          </cell>
          <cell r="H234" t="str">
            <v xml:space="preserve">  1</v>
          </cell>
          <cell r="I234" t="str">
            <v>NOTA COL</v>
          </cell>
          <cell r="J234" t="str">
            <v>551</v>
          </cell>
          <cell r="K234">
            <v>-3452760</v>
          </cell>
        </row>
        <row r="235">
          <cell r="F235" t="str">
            <v>NCM11203700</v>
          </cell>
          <cell r="G235" t="str">
            <v>9436980253</v>
          </cell>
          <cell r="H235" t="str">
            <v xml:space="preserve">  1</v>
          </cell>
          <cell r="I235" t="str">
            <v>NOTA</v>
          </cell>
          <cell r="J235" t="str">
            <v>659</v>
          </cell>
          <cell r="K235">
            <v>-3188453</v>
          </cell>
        </row>
        <row r="236">
          <cell r="F236" t="str">
            <v>NCM11203728</v>
          </cell>
          <cell r="G236" t="str">
            <v>9436980293</v>
          </cell>
          <cell r="H236" t="str">
            <v xml:space="preserve">  1</v>
          </cell>
          <cell r="I236" t="str">
            <v>NOTA</v>
          </cell>
          <cell r="J236" t="str">
            <v>659</v>
          </cell>
          <cell r="K236">
            <v>-2859186</v>
          </cell>
        </row>
        <row r="237">
          <cell r="F237" t="str">
            <v>NCMI10336948</v>
          </cell>
          <cell r="G237" t="str">
            <v>9436991583</v>
          </cell>
          <cell r="H237" t="str">
            <v xml:space="preserve">  1</v>
          </cell>
          <cell r="I237" t="str">
            <v>NOTA COL</v>
          </cell>
          <cell r="J237" t="str">
            <v>551</v>
          </cell>
          <cell r="K237">
            <v>-2577060</v>
          </cell>
        </row>
        <row r="238">
          <cell r="F238" t="str">
            <v>NCM11202396</v>
          </cell>
          <cell r="G238" t="str">
            <v>9436978487</v>
          </cell>
          <cell r="H238" t="str">
            <v xml:space="preserve">  1</v>
          </cell>
          <cell r="I238" t="str">
            <v>NOTA</v>
          </cell>
          <cell r="J238" t="str">
            <v>659</v>
          </cell>
          <cell r="K238">
            <v>-700227</v>
          </cell>
        </row>
        <row r="239">
          <cell r="F239" t="str">
            <v>45867</v>
          </cell>
          <cell r="G239" t="str">
            <v>1100108218</v>
          </cell>
          <cell r="H239" t="str">
            <v xml:space="preserve">  4</v>
          </cell>
          <cell r="I239" t="str">
            <v>AVERIA</v>
          </cell>
          <cell r="J239" t="str">
            <v>522</v>
          </cell>
          <cell r="K239">
            <v>45320</v>
          </cell>
        </row>
        <row r="240">
          <cell r="F240" t="str">
            <v>45867</v>
          </cell>
          <cell r="G240" t="str">
            <v>1100108218</v>
          </cell>
          <cell r="H240" t="str">
            <v xml:space="preserve">  6</v>
          </cell>
          <cell r="I240" t="str">
            <v>AVERIA</v>
          </cell>
          <cell r="J240" t="str">
            <v>522</v>
          </cell>
          <cell r="K240">
            <v>31860</v>
          </cell>
        </row>
        <row r="241">
          <cell r="F241" t="str">
            <v>45867</v>
          </cell>
          <cell r="G241" t="str">
            <v>1100108218</v>
          </cell>
          <cell r="H241" t="str">
            <v xml:space="preserve">  5</v>
          </cell>
          <cell r="I241" t="str">
            <v>AVERIA</v>
          </cell>
          <cell r="J241" t="str">
            <v>522</v>
          </cell>
          <cell r="K241">
            <v>20002</v>
          </cell>
        </row>
        <row r="242">
          <cell r="F242" t="str">
            <v>WF#169212 100725</v>
          </cell>
          <cell r="G242" t="str">
            <v>1100108257</v>
          </cell>
          <cell r="H242" t="str">
            <v xml:space="preserve">  1</v>
          </cell>
          <cell r="I242" t="str">
            <v>VENTAS</v>
          </cell>
          <cell r="J242" t="str">
            <v>987</v>
          </cell>
          <cell r="K242">
            <v>85704902.879999995</v>
          </cell>
        </row>
        <row r="243">
          <cell r="F243" t="str">
            <v>WF#169212 100725</v>
          </cell>
          <cell r="G243" t="str">
            <v>1100108253</v>
          </cell>
          <cell r="H243" t="str">
            <v xml:space="preserve">  1</v>
          </cell>
          <cell r="I243" t="str">
            <v>NOTA</v>
          </cell>
          <cell r="J243" t="str">
            <v>659</v>
          </cell>
          <cell r="K243">
            <v>-73857002</v>
          </cell>
        </row>
        <row r="244">
          <cell r="F244" t="str">
            <v>WF#169212 100725</v>
          </cell>
          <cell r="G244" t="str">
            <v>1100108242</v>
          </cell>
          <cell r="H244" t="str">
            <v xml:space="preserve">  1</v>
          </cell>
          <cell r="I244" t="str">
            <v>NOTA</v>
          </cell>
          <cell r="J244" t="str">
            <v>659</v>
          </cell>
          <cell r="K244">
            <v>-48346945</v>
          </cell>
        </row>
        <row r="245">
          <cell r="F245" t="str">
            <v>WF#169212 100725</v>
          </cell>
          <cell r="G245" t="str">
            <v>1100108223</v>
          </cell>
          <cell r="H245" t="str">
            <v xml:space="preserve">  1</v>
          </cell>
          <cell r="I245" t="str">
            <v>NOTA</v>
          </cell>
          <cell r="J245" t="str">
            <v>659</v>
          </cell>
          <cell r="K245">
            <v>-17125643</v>
          </cell>
        </row>
        <row r="246">
          <cell r="F246" t="str">
            <v>WF#169212 100725</v>
          </cell>
          <cell r="G246" t="str">
            <v>1100108238</v>
          </cell>
          <cell r="H246" t="str">
            <v xml:space="preserve">  1</v>
          </cell>
          <cell r="I246" t="str">
            <v>NOTA</v>
          </cell>
          <cell r="J246" t="str">
            <v>659</v>
          </cell>
          <cell r="K246">
            <v>-7210974.4900000002</v>
          </cell>
        </row>
        <row r="247">
          <cell r="F247" t="str">
            <v>WF#169212 100725</v>
          </cell>
          <cell r="G247" t="str">
            <v>1100108220</v>
          </cell>
          <cell r="H247" t="str">
            <v xml:space="preserve">  1</v>
          </cell>
          <cell r="I247" t="str">
            <v>NOTA</v>
          </cell>
          <cell r="J247" t="str">
            <v>987</v>
          </cell>
          <cell r="K247">
            <v>-4501146</v>
          </cell>
        </row>
        <row r="248">
          <cell r="F248" t="str">
            <v>WF#169212 100725</v>
          </cell>
          <cell r="G248" t="str">
            <v>1100108246</v>
          </cell>
          <cell r="H248" t="str">
            <v xml:space="preserve">  1</v>
          </cell>
          <cell r="I248" t="str">
            <v>NOTA</v>
          </cell>
          <cell r="J248" t="str">
            <v>659</v>
          </cell>
          <cell r="K248">
            <v>-3663206</v>
          </cell>
        </row>
        <row r="249">
          <cell r="F249" t="str">
            <v>WF#169212 100725</v>
          </cell>
          <cell r="G249" t="str">
            <v>1100108229</v>
          </cell>
          <cell r="H249" t="str">
            <v xml:space="preserve">  1</v>
          </cell>
          <cell r="I249" t="str">
            <v>NOTA</v>
          </cell>
          <cell r="J249" t="str">
            <v>659</v>
          </cell>
          <cell r="K249">
            <v>-3618745</v>
          </cell>
        </row>
        <row r="250">
          <cell r="F250" t="str">
            <v>WF#169212 100725</v>
          </cell>
          <cell r="G250" t="str">
            <v>1100108249</v>
          </cell>
          <cell r="H250" t="str">
            <v xml:space="preserve">  1</v>
          </cell>
          <cell r="I250" t="str">
            <v>NOTA</v>
          </cell>
          <cell r="J250" t="str">
            <v>659</v>
          </cell>
          <cell r="K250">
            <v>-2720457</v>
          </cell>
        </row>
        <row r="251">
          <cell r="F251" t="str">
            <v>WF#169212 100725</v>
          </cell>
          <cell r="G251" t="str">
            <v>1100108222</v>
          </cell>
          <cell r="H251" t="str">
            <v xml:space="preserve">  1</v>
          </cell>
          <cell r="I251" t="str">
            <v>NOTA</v>
          </cell>
          <cell r="J251" t="str">
            <v>659</v>
          </cell>
          <cell r="K251">
            <v>-511575</v>
          </cell>
        </row>
        <row r="252">
          <cell r="F252" t="str">
            <v>537424</v>
          </cell>
          <cell r="G252" t="str">
            <v>1200011041</v>
          </cell>
          <cell r="H252" t="str">
            <v xml:space="preserve">  2</v>
          </cell>
          <cell r="I252" t="str">
            <v>VENTAS</v>
          </cell>
          <cell r="J252" t="str">
            <v>987</v>
          </cell>
          <cell r="K252">
            <v>76704</v>
          </cell>
        </row>
        <row r="253">
          <cell r="F253" t="str">
            <v>NCMI10337221</v>
          </cell>
          <cell r="G253" t="str">
            <v>9437203858</v>
          </cell>
          <cell r="H253" t="str">
            <v xml:space="preserve">  1</v>
          </cell>
          <cell r="I253" t="str">
            <v>NOTA COL</v>
          </cell>
          <cell r="J253" t="str">
            <v>551</v>
          </cell>
          <cell r="K253">
            <v>-536926</v>
          </cell>
        </row>
        <row r="254">
          <cell r="F254" t="str">
            <v>NCMI10337223</v>
          </cell>
          <cell r="G254" t="str">
            <v>9437203910</v>
          </cell>
          <cell r="H254" t="str">
            <v xml:space="preserve">  1</v>
          </cell>
          <cell r="I254" t="str">
            <v>NOTA COL</v>
          </cell>
          <cell r="J254" t="str">
            <v>551</v>
          </cell>
          <cell r="K254">
            <v>-195830.8</v>
          </cell>
        </row>
        <row r="255">
          <cell r="F255" t="str">
            <v>NCMI10337220</v>
          </cell>
          <cell r="G255" t="str">
            <v>9437203857</v>
          </cell>
          <cell r="H255" t="str">
            <v xml:space="preserve">  1</v>
          </cell>
          <cell r="I255" t="str">
            <v>NOTA COL</v>
          </cell>
          <cell r="J255" t="str">
            <v>551</v>
          </cell>
          <cell r="K255">
            <v>-103238.08</v>
          </cell>
        </row>
        <row r="256">
          <cell r="F256" t="str">
            <v>NCMI10337222</v>
          </cell>
          <cell r="G256" t="str">
            <v>9437203859</v>
          </cell>
          <cell r="H256" t="str">
            <v xml:space="preserve">  1</v>
          </cell>
          <cell r="I256" t="str">
            <v>NOTA COL</v>
          </cell>
          <cell r="J256" t="str">
            <v>551</v>
          </cell>
          <cell r="K256">
            <v>-85000.56</v>
          </cell>
        </row>
        <row r="257">
          <cell r="F257" t="str">
            <v>NCMI10337564</v>
          </cell>
          <cell r="G257" t="str">
            <v>9437357409</v>
          </cell>
          <cell r="H257" t="str">
            <v xml:space="preserve">  1</v>
          </cell>
          <cell r="I257" t="str">
            <v>NOTA COL</v>
          </cell>
          <cell r="J257" t="str">
            <v>551</v>
          </cell>
          <cell r="K257">
            <v>-267836</v>
          </cell>
        </row>
        <row r="258">
          <cell r="F258" t="str">
            <v>902692</v>
          </cell>
          <cell r="G258" t="str">
            <v>1200011447</v>
          </cell>
          <cell r="H258" t="str">
            <v xml:space="preserve"> 19</v>
          </cell>
          <cell r="I258" t="str">
            <v>VENTAS</v>
          </cell>
          <cell r="J258" t="str">
            <v>987</v>
          </cell>
          <cell r="K258">
            <v>77643586</v>
          </cell>
        </row>
        <row r="259">
          <cell r="F259" t="str">
            <v>902692</v>
          </cell>
          <cell r="G259" t="str">
            <v>1200011447</v>
          </cell>
          <cell r="H259" t="str">
            <v xml:space="preserve">  2</v>
          </cell>
          <cell r="I259" t="str">
            <v>FACTURA PROVEEDOR</v>
          </cell>
          <cell r="J259" t="str">
            <v>CSB</v>
          </cell>
          <cell r="K259">
            <v>65740358</v>
          </cell>
        </row>
        <row r="260">
          <cell r="F260" t="str">
            <v>902692</v>
          </cell>
          <cell r="G260" t="str">
            <v>1200011447</v>
          </cell>
          <cell r="H260" t="str">
            <v xml:space="preserve"> 20</v>
          </cell>
          <cell r="I260" t="str">
            <v>VENTAS</v>
          </cell>
          <cell r="J260" t="str">
            <v>987</v>
          </cell>
          <cell r="K260">
            <v>63642284</v>
          </cell>
        </row>
        <row r="261">
          <cell r="F261" t="str">
            <v>902692</v>
          </cell>
          <cell r="G261" t="str">
            <v>1200011447</v>
          </cell>
          <cell r="H261" t="str">
            <v xml:space="preserve">  3</v>
          </cell>
          <cell r="I261" t="str">
            <v>FACTURA PROVEEDOR</v>
          </cell>
          <cell r="J261" t="str">
            <v>CSB</v>
          </cell>
          <cell r="K261">
            <v>54866013</v>
          </cell>
        </row>
        <row r="262">
          <cell r="F262" t="str">
            <v>902692</v>
          </cell>
          <cell r="G262" t="str">
            <v>1200011447</v>
          </cell>
          <cell r="H262" t="str">
            <v xml:space="preserve">  4</v>
          </cell>
          <cell r="I262" t="str">
            <v>FACTURA PROVEEDOR</v>
          </cell>
          <cell r="J262" t="str">
            <v>CSB</v>
          </cell>
          <cell r="K262">
            <v>47451687</v>
          </cell>
        </row>
        <row r="263">
          <cell r="F263" t="str">
            <v>902692</v>
          </cell>
          <cell r="G263" t="str">
            <v>1200011447</v>
          </cell>
          <cell r="H263" t="str">
            <v xml:space="preserve"> 18</v>
          </cell>
          <cell r="I263" t="str">
            <v>VENTAS</v>
          </cell>
          <cell r="J263" t="str">
            <v>987</v>
          </cell>
          <cell r="K263">
            <v>38727613</v>
          </cell>
        </row>
        <row r="264">
          <cell r="F264" t="str">
            <v>902692</v>
          </cell>
          <cell r="G264" t="str">
            <v>1200011447</v>
          </cell>
          <cell r="H264" t="str">
            <v xml:space="preserve"> 21</v>
          </cell>
          <cell r="I264" t="str">
            <v>VENTAS</v>
          </cell>
          <cell r="J264" t="str">
            <v>987</v>
          </cell>
          <cell r="K264">
            <v>24608350</v>
          </cell>
        </row>
        <row r="265">
          <cell r="F265" t="str">
            <v>902692</v>
          </cell>
          <cell r="G265" t="str">
            <v>1200011447</v>
          </cell>
          <cell r="H265" t="str">
            <v xml:space="preserve"> 22</v>
          </cell>
          <cell r="I265" t="str">
            <v>VENTAS</v>
          </cell>
          <cell r="J265" t="str">
            <v>987</v>
          </cell>
          <cell r="K265">
            <v>22519415</v>
          </cell>
        </row>
        <row r="266">
          <cell r="F266" t="str">
            <v>902692</v>
          </cell>
          <cell r="G266" t="str">
            <v>1200011447</v>
          </cell>
          <cell r="H266" t="str">
            <v xml:space="preserve">  5</v>
          </cell>
          <cell r="I266" t="str">
            <v>FACTURA PROVEEDOR</v>
          </cell>
          <cell r="J266" t="str">
            <v>CSB</v>
          </cell>
          <cell r="K266">
            <v>21786554</v>
          </cell>
        </row>
        <row r="267">
          <cell r="F267" t="str">
            <v>902692</v>
          </cell>
          <cell r="G267" t="str">
            <v>1200011447</v>
          </cell>
          <cell r="H267" t="str">
            <v xml:space="preserve">  6</v>
          </cell>
          <cell r="I267" t="str">
            <v>FACTURA PROVEEDOR</v>
          </cell>
          <cell r="J267" t="str">
            <v>CSB</v>
          </cell>
          <cell r="K267">
            <v>19800379</v>
          </cell>
        </row>
        <row r="268">
          <cell r="F268" t="str">
            <v>902692</v>
          </cell>
          <cell r="G268" t="str">
            <v>1200011447</v>
          </cell>
          <cell r="H268" t="str">
            <v xml:space="preserve"> 23</v>
          </cell>
          <cell r="I268" t="str">
            <v>VENTAS</v>
          </cell>
          <cell r="J268" t="str">
            <v>987</v>
          </cell>
          <cell r="K268">
            <v>19679618</v>
          </cell>
        </row>
        <row r="269">
          <cell r="F269" t="str">
            <v>902692</v>
          </cell>
          <cell r="G269" t="str">
            <v>1200011447</v>
          </cell>
          <cell r="H269" t="str">
            <v xml:space="preserve">  7</v>
          </cell>
          <cell r="I269" t="str">
            <v>FACTURA PROVEEDOR</v>
          </cell>
          <cell r="J269" t="str">
            <v>CSB</v>
          </cell>
          <cell r="K269">
            <v>16674003</v>
          </cell>
        </row>
        <row r="270">
          <cell r="F270" t="str">
            <v>902692</v>
          </cell>
          <cell r="G270" t="str">
            <v>1200011447</v>
          </cell>
          <cell r="H270" t="str">
            <v xml:space="preserve"> 24</v>
          </cell>
          <cell r="I270" t="str">
            <v>VENTAS</v>
          </cell>
          <cell r="J270" t="str">
            <v>987</v>
          </cell>
          <cell r="K270">
            <v>16267041</v>
          </cell>
        </row>
        <row r="271">
          <cell r="F271" t="str">
            <v>902692</v>
          </cell>
          <cell r="G271" t="str">
            <v>1200011447</v>
          </cell>
          <cell r="H271" t="str">
            <v xml:space="preserve">  8</v>
          </cell>
          <cell r="I271" t="str">
            <v>FACTURA PROVEEDOR</v>
          </cell>
          <cell r="J271" t="str">
            <v>CSB</v>
          </cell>
          <cell r="K271">
            <v>14589753</v>
          </cell>
        </row>
        <row r="272">
          <cell r="F272" t="str">
            <v>902692</v>
          </cell>
          <cell r="G272" t="str">
            <v>1200011447</v>
          </cell>
          <cell r="H272" t="str">
            <v xml:space="preserve">  9</v>
          </cell>
          <cell r="I272" t="str">
            <v>FACTURA PROVEEDOR</v>
          </cell>
          <cell r="J272" t="str">
            <v>CSB</v>
          </cell>
          <cell r="K272">
            <v>13687887</v>
          </cell>
        </row>
        <row r="273">
          <cell r="F273" t="str">
            <v>902692</v>
          </cell>
          <cell r="G273" t="str">
            <v>1200011447</v>
          </cell>
          <cell r="H273" t="str">
            <v xml:space="preserve"> 41</v>
          </cell>
          <cell r="I273" t="str">
            <v>RECHAZO</v>
          </cell>
          <cell r="J273" t="str">
            <v>551</v>
          </cell>
          <cell r="K273">
            <v>9553281</v>
          </cell>
        </row>
        <row r="274">
          <cell r="F274" t="str">
            <v>902692</v>
          </cell>
          <cell r="G274" t="str">
            <v>1200011447</v>
          </cell>
          <cell r="H274" t="str">
            <v xml:space="preserve"> 25</v>
          </cell>
          <cell r="I274" t="str">
            <v>VENTAS</v>
          </cell>
          <cell r="J274" t="str">
            <v>987</v>
          </cell>
          <cell r="K274">
            <v>7343319</v>
          </cell>
        </row>
        <row r="275">
          <cell r="F275" t="str">
            <v>902692</v>
          </cell>
          <cell r="G275" t="str">
            <v>1200011447</v>
          </cell>
          <cell r="H275" t="str">
            <v xml:space="preserve"> 26</v>
          </cell>
          <cell r="I275" t="str">
            <v>VENTAS</v>
          </cell>
          <cell r="J275" t="str">
            <v>987</v>
          </cell>
          <cell r="K275">
            <v>7156225</v>
          </cell>
        </row>
        <row r="276">
          <cell r="F276" t="str">
            <v>902692</v>
          </cell>
          <cell r="G276" t="str">
            <v>1200011447</v>
          </cell>
          <cell r="H276" t="str">
            <v xml:space="preserve"> 27</v>
          </cell>
          <cell r="I276" t="str">
            <v>VENTAS</v>
          </cell>
          <cell r="J276" t="str">
            <v>987</v>
          </cell>
          <cell r="K276">
            <v>6266272</v>
          </cell>
        </row>
        <row r="277">
          <cell r="F277" t="str">
            <v>902692</v>
          </cell>
          <cell r="G277" t="str">
            <v>1200011447</v>
          </cell>
          <cell r="H277" t="str">
            <v xml:space="preserve"> 28</v>
          </cell>
          <cell r="I277" t="str">
            <v>VENTAS</v>
          </cell>
          <cell r="J277" t="str">
            <v>987</v>
          </cell>
          <cell r="K277">
            <v>4895525</v>
          </cell>
        </row>
        <row r="278">
          <cell r="F278" t="str">
            <v>902692</v>
          </cell>
          <cell r="G278" t="str">
            <v>1200011447</v>
          </cell>
          <cell r="H278" t="str">
            <v xml:space="preserve"> 29</v>
          </cell>
          <cell r="I278" t="str">
            <v>VENTAS</v>
          </cell>
          <cell r="J278" t="str">
            <v>987</v>
          </cell>
          <cell r="K278">
            <v>4472640</v>
          </cell>
        </row>
        <row r="279">
          <cell r="F279" t="str">
            <v>902692</v>
          </cell>
          <cell r="G279" t="str">
            <v>1200011447</v>
          </cell>
          <cell r="H279" t="str">
            <v xml:space="preserve"> 10</v>
          </cell>
          <cell r="I279" t="str">
            <v>FACTURA PROVEEDOR</v>
          </cell>
          <cell r="J279" t="str">
            <v>CSB</v>
          </cell>
          <cell r="K279">
            <v>3353617</v>
          </cell>
        </row>
        <row r="280">
          <cell r="F280" t="str">
            <v>902692</v>
          </cell>
          <cell r="G280" t="str">
            <v>1200011447</v>
          </cell>
          <cell r="H280" t="str">
            <v xml:space="preserve"> 30</v>
          </cell>
          <cell r="I280" t="str">
            <v>VENTAS</v>
          </cell>
          <cell r="J280" t="str">
            <v>987</v>
          </cell>
          <cell r="K280">
            <v>3198490</v>
          </cell>
        </row>
        <row r="281">
          <cell r="F281" t="str">
            <v>902692</v>
          </cell>
          <cell r="G281" t="str">
            <v>1200011447</v>
          </cell>
          <cell r="H281" t="str">
            <v xml:space="preserve"> 31</v>
          </cell>
          <cell r="I281" t="str">
            <v>VENTAS</v>
          </cell>
          <cell r="J281" t="str">
            <v>987</v>
          </cell>
          <cell r="K281">
            <v>2772024</v>
          </cell>
        </row>
        <row r="282">
          <cell r="F282" t="str">
            <v>902692</v>
          </cell>
          <cell r="G282" t="str">
            <v>1200011447</v>
          </cell>
          <cell r="H282" t="str">
            <v xml:space="preserve"> 32</v>
          </cell>
          <cell r="I282" t="str">
            <v>VENTAS</v>
          </cell>
          <cell r="J282" t="str">
            <v>987</v>
          </cell>
          <cell r="K282">
            <v>1235221</v>
          </cell>
        </row>
        <row r="283">
          <cell r="F283" t="str">
            <v>902692</v>
          </cell>
          <cell r="G283" t="str">
            <v>1200011447</v>
          </cell>
          <cell r="H283" t="str">
            <v xml:space="preserve"> 33</v>
          </cell>
          <cell r="I283" t="str">
            <v>VENTAS</v>
          </cell>
          <cell r="J283" t="str">
            <v>987</v>
          </cell>
          <cell r="K283">
            <v>852931</v>
          </cell>
        </row>
        <row r="284">
          <cell r="F284" t="str">
            <v>902692</v>
          </cell>
          <cell r="G284" t="str">
            <v>1200011447</v>
          </cell>
          <cell r="H284" t="str">
            <v xml:space="preserve"> 12</v>
          </cell>
          <cell r="I284" t="str">
            <v>FACTURA PROVEEDOR</v>
          </cell>
          <cell r="J284" t="str">
            <v>CSB</v>
          </cell>
          <cell r="K284">
            <v>817632</v>
          </cell>
        </row>
        <row r="285">
          <cell r="F285" t="str">
            <v>902692</v>
          </cell>
          <cell r="G285" t="str">
            <v>1200011447</v>
          </cell>
          <cell r="H285" t="str">
            <v xml:space="preserve"> 11</v>
          </cell>
          <cell r="I285" t="str">
            <v>FACTURA PROVEEDOR</v>
          </cell>
          <cell r="J285" t="str">
            <v>CSB</v>
          </cell>
          <cell r="K285">
            <v>817632</v>
          </cell>
        </row>
        <row r="286">
          <cell r="F286" t="str">
            <v>902692</v>
          </cell>
          <cell r="G286" t="str">
            <v>1200011447</v>
          </cell>
          <cell r="H286" t="str">
            <v xml:space="preserve"> 34</v>
          </cell>
          <cell r="I286" t="str">
            <v>VENTAS</v>
          </cell>
          <cell r="J286" t="str">
            <v>987</v>
          </cell>
          <cell r="K286">
            <v>280732</v>
          </cell>
        </row>
        <row r="287">
          <cell r="F287" t="str">
            <v>902692</v>
          </cell>
          <cell r="G287" t="str">
            <v>1200011447</v>
          </cell>
          <cell r="H287" t="str">
            <v xml:space="preserve"> 16</v>
          </cell>
          <cell r="I287" t="str">
            <v>AVERIA</v>
          </cell>
          <cell r="J287" t="str">
            <v>522</v>
          </cell>
          <cell r="K287">
            <v>107500</v>
          </cell>
        </row>
        <row r="288">
          <cell r="F288" t="str">
            <v>902692</v>
          </cell>
          <cell r="G288" t="str">
            <v>1200011447</v>
          </cell>
          <cell r="H288" t="str">
            <v xml:space="preserve"> 35</v>
          </cell>
          <cell r="I288" t="str">
            <v>VENTAS</v>
          </cell>
          <cell r="J288" t="str">
            <v>987</v>
          </cell>
          <cell r="K288">
            <v>106616</v>
          </cell>
        </row>
        <row r="289">
          <cell r="F289" t="str">
            <v>902692</v>
          </cell>
          <cell r="G289" t="str">
            <v>1200011447</v>
          </cell>
          <cell r="H289" t="str">
            <v xml:space="preserve"> 17</v>
          </cell>
          <cell r="I289" t="str">
            <v>AVERIA</v>
          </cell>
          <cell r="J289" t="str">
            <v>522</v>
          </cell>
          <cell r="K289">
            <v>35833</v>
          </cell>
        </row>
        <row r="290">
          <cell r="F290" t="str">
            <v>902692</v>
          </cell>
          <cell r="G290" t="str">
            <v>1200011447</v>
          </cell>
          <cell r="H290" t="str">
            <v xml:space="preserve"> 15</v>
          </cell>
          <cell r="I290" t="str">
            <v>AVERIA</v>
          </cell>
          <cell r="J290" t="str">
            <v>522</v>
          </cell>
          <cell r="K290">
            <v>31860</v>
          </cell>
        </row>
        <row r="291">
          <cell r="F291" t="str">
            <v>902692</v>
          </cell>
          <cell r="G291" t="str">
            <v>1200011447</v>
          </cell>
          <cell r="H291" t="str">
            <v xml:space="preserve"> 14</v>
          </cell>
          <cell r="I291" t="str">
            <v>AVERIA</v>
          </cell>
          <cell r="J291" t="str">
            <v>522</v>
          </cell>
          <cell r="K291">
            <v>29575</v>
          </cell>
        </row>
        <row r="292">
          <cell r="F292" t="str">
            <v>NCM11209973</v>
          </cell>
          <cell r="G292" t="str">
            <v>9437476830</v>
          </cell>
          <cell r="H292" t="str">
            <v xml:space="preserve">  1</v>
          </cell>
          <cell r="I292" t="str">
            <v>NOTA</v>
          </cell>
          <cell r="J292" t="str">
            <v>659</v>
          </cell>
          <cell r="K292">
            <v>-34334135</v>
          </cell>
        </row>
        <row r="293">
          <cell r="F293" t="str">
            <v>NCM11210023</v>
          </cell>
          <cell r="G293" t="str">
            <v>9437476890</v>
          </cell>
          <cell r="H293" t="str">
            <v xml:space="preserve">  1</v>
          </cell>
          <cell r="I293" t="str">
            <v>NOTA</v>
          </cell>
          <cell r="J293" t="str">
            <v>659</v>
          </cell>
          <cell r="K293">
            <v>-18559487</v>
          </cell>
        </row>
        <row r="294">
          <cell r="F294" t="str">
            <v>NCM11210019</v>
          </cell>
          <cell r="G294" t="str">
            <v>9437476876</v>
          </cell>
          <cell r="H294" t="str">
            <v xml:space="preserve">  1</v>
          </cell>
          <cell r="I294" t="str">
            <v>NOTA</v>
          </cell>
          <cell r="J294" t="str">
            <v>659</v>
          </cell>
          <cell r="K294">
            <v>-12249546</v>
          </cell>
        </row>
        <row r="295">
          <cell r="F295" t="str">
            <v>NCM11209981</v>
          </cell>
          <cell r="G295" t="str">
            <v>9437476838</v>
          </cell>
          <cell r="H295" t="str">
            <v xml:space="preserve">  1</v>
          </cell>
          <cell r="I295" t="str">
            <v>NOTA</v>
          </cell>
          <cell r="J295" t="str">
            <v>659</v>
          </cell>
          <cell r="K295">
            <v>-2686868</v>
          </cell>
        </row>
        <row r="296">
          <cell r="F296" t="str">
            <v>NCM11209982</v>
          </cell>
          <cell r="G296" t="str">
            <v>9437476839</v>
          </cell>
          <cell r="H296" t="str">
            <v xml:space="preserve">  1</v>
          </cell>
          <cell r="I296" t="str">
            <v>NOTA</v>
          </cell>
          <cell r="J296" t="str">
            <v>659</v>
          </cell>
          <cell r="K296">
            <v>-1930762</v>
          </cell>
        </row>
        <row r="297">
          <cell r="F297" t="str">
            <v>NCMI10337915</v>
          </cell>
          <cell r="G297" t="str">
            <v>9437465034</v>
          </cell>
          <cell r="H297" t="str">
            <v xml:space="preserve">  1</v>
          </cell>
          <cell r="I297" t="str">
            <v>NOTA COL</v>
          </cell>
          <cell r="J297" t="str">
            <v>551</v>
          </cell>
          <cell r="K297">
            <v>-153120.25</v>
          </cell>
        </row>
        <row r="298">
          <cell r="F298" t="str">
            <v>NCMI10338043</v>
          </cell>
          <cell r="G298" t="str">
            <v>9437522699</v>
          </cell>
          <cell r="H298" t="str">
            <v xml:space="preserve">  1</v>
          </cell>
          <cell r="I298" t="str">
            <v>NOTA COL</v>
          </cell>
          <cell r="J298" t="str">
            <v>551</v>
          </cell>
          <cell r="K298">
            <v>-441395</v>
          </cell>
        </row>
        <row r="299">
          <cell r="F299" t="str">
            <v>NCMI10338044</v>
          </cell>
          <cell r="G299" t="str">
            <v>9437522700</v>
          </cell>
          <cell r="H299" t="str">
            <v xml:space="preserve">  1</v>
          </cell>
          <cell r="I299" t="str">
            <v>NOTA COL</v>
          </cell>
          <cell r="J299" t="str">
            <v>551</v>
          </cell>
          <cell r="K299">
            <v>-84451</v>
          </cell>
        </row>
        <row r="300">
          <cell r="F300" t="str">
            <v>NCMI10338158</v>
          </cell>
          <cell r="G300" t="str">
            <v>9437563747</v>
          </cell>
          <cell r="H300" t="str">
            <v xml:space="preserve">  1</v>
          </cell>
          <cell r="I300" t="str">
            <v>NOTA COL</v>
          </cell>
          <cell r="J300" t="str">
            <v>551</v>
          </cell>
          <cell r="K300">
            <v>-329904.28999999998</v>
          </cell>
        </row>
        <row r="301">
          <cell r="F301" t="str">
            <v>NCMI10338246</v>
          </cell>
          <cell r="G301" t="str">
            <v>9437596848</v>
          </cell>
          <cell r="H301" t="str">
            <v xml:space="preserve">  1</v>
          </cell>
          <cell r="I301" t="str">
            <v>NOTA COL</v>
          </cell>
          <cell r="J301" t="str">
            <v>551</v>
          </cell>
          <cell r="K301">
            <v>-532351</v>
          </cell>
        </row>
        <row r="302">
          <cell r="F302" t="str">
            <v>NCMI10338249</v>
          </cell>
          <cell r="G302" t="str">
            <v>9437596881</v>
          </cell>
          <cell r="H302" t="str">
            <v xml:space="preserve">  1</v>
          </cell>
          <cell r="I302" t="str">
            <v>NOTA COL</v>
          </cell>
          <cell r="J302" t="str">
            <v>551</v>
          </cell>
          <cell r="K302">
            <v>-445122</v>
          </cell>
        </row>
        <row r="303">
          <cell r="F303" t="str">
            <v>NCMI10338245</v>
          </cell>
          <cell r="G303" t="str">
            <v>9437596847</v>
          </cell>
          <cell r="H303" t="str">
            <v xml:space="preserve">  1</v>
          </cell>
          <cell r="I303" t="str">
            <v>NOTA COL</v>
          </cell>
          <cell r="J303" t="str">
            <v>551</v>
          </cell>
          <cell r="K303">
            <v>-239044.44</v>
          </cell>
        </row>
        <row r="304">
          <cell r="F304" t="str">
            <v>NCMI10338248</v>
          </cell>
          <cell r="G304" t="str">
            <v>9437596880</v>
          </cell>
          <cell r="H304" t="str">
            <v xml:space="preserve">  1</v>
          </cell>
          <cell r="I304" t="str">
            <v>NOTA COL</v>
          </cell>
          <cell r="J304" t="str">
            <v>551</v>
          </cell>
          <cell r="K304">
            <v>-186149</v>
          </cell>
        </row>
        <row r="305">
          <cell r="F305" t="str">
            <v>WF#170545 190825</v>
          </cell>
          <cell r="G305" t="str">
            <v>1100116619</v>
          </cell>
          <cell r="H305" t="str">
            <v xml:space="preserve">  1</v>
          </cell>
          <cell r="I305" t="str">
            <v>NOTA COL</v>
          </cell>
          <cell r="J305" t="str">
            <v>551</v>
          </cell>
          <cell r="K305">
            <v>-318722.98</v>
          </cell>
        </row>
        <row r="306">
          <cell r="F306" t="str">
            <v>WF#170545 190825</v>
          </cell>
          <cell r="G306" t="str">
            <v>1100116620</v>
          </cell>
          <cell r="H306" t="str">
            <v xml:space="preserve">  1</v>
          </cell>
          <cell r="I306" t="str">
            <v>NOTA COL</v>
          </cell>
          <cell r="J306" t="str">
            <v>551</v>
          </cell>
          <cell r="K306">
            <v>-153096</v>
          </cell>
        </row>
        <row r="307">
          <cell r="F307" t="str">
            <v>WF#170545 190825</v>
          </cell>
          <cell r="G307" t="str">
            <v>1100116618</v>
          </cell>
          <cell r="H307" t="str">
            <v xml:space="preserve">  1</v>
          </cell>
          <cell r="I307" t="str">
            <v>NOTA COL</v>
          </cell>
          <cell r="J307" t="str">
            <v>551</v>
          </cell>
          <cell r="K307">
            <v>-59046.76</v>
          </cell>
        </row>
        <row r="308">
          <cell r="F308" t="str">
            <v>NCMI10338300</v>
          </cell>
          <cell r="G308" t="str">
            <v>9437709004</v>
          </cell>
          <cell r="H308" t="str">
            <v xml:space="preserve">  1</v>
          </cell>
          <cell r="I308" t="str">
            <v>NOTA COL</v>
          </cell>
          <cell r="J308" t="str">
            <v>551</v>
          </cell>
          <cell r="K308">
            <v>-442286</v>
          </cell>
        </row>
        <row r="309">
          <cell r="F309" t="str">
            <v>NCMI10338649</v>
          </cell>
          <cell r="G309" t="str">
            <v>9437809554</v>
          </cell>
          <cell r="H309" t="str">
            <v xml:space="preserve">  1</v>
          </cell>
          <cell r="I309" t="str">
            <v>NOTA COL</v>
          </cell>
          <cell r="J309" t="str">
            <v>551</v>
          </cell>
          <cell r="K309">
            <v>-17368250</v>
          </cell>
        </row>
        <row r="310">
          <cell r="F310" t="str">
            <v>NCMI10338650</v>
          </cell>
          <cell r="G310" t="str">
            <v>9437809555</v>
          </cell>
          <cell r="H310" t="str">
            <v xml:space="preserve">  1</v>
          </cell>
          <cell r="I310" t="str">
            <v>NOTA COL</v>
          </cell>
          <cell r="J310" t="str">
            <v>551</v>
          </cell>
          <cell r="K310">
            <v>-4342062</v>
          </cell>
        </row>
        <row r="311">
          <cell r="F311" t="str">
            <v>NCMI10338630</v>
          </cell>
          <cell r="G311" t="str">
            <v>9437809189</v>
          </cell>
          <cell r="H311" t="str">
            <v xml:space="preserve">  1</v>
          </cell>
          <cell r="I311" t="str">
            <v>NOTA COL</v>
          </cell>
          <cell r="J311" t="str">
            <v>551</v>
          </cell>
          <cell r="K311">
            <v>-3549709.2</v>
          </cell>
        </row>
        <row r="312">
          <cell r="F312" t="str">
            <v>NCMI10338652</v>
          </cell>
          <cell r="G312" t="str">
            <v>9437809557</v>
          </cell>
          <cell r="H312" t="str">
            <v xml:space="preserve">  1</v>
          </cell>
          <cell r="I312" t="str">
            <v>NOTA COL</v>
          </cell>
          <cell r="J312" t="str">
            <v>551</v>
          </cell>
          <cell r="K312">
            <v>-3175057.28</v>
          </cell>
        </row>
        <row r="313">
          <cell r="F313" t="str">
            <v>NCMI10338629</v>
          </cell>
          <cell r="G313" t="str">
            <v>9437809188</v>
          </cell>
          <cell r="H313" t="str">
            <v xml:space="preserve">  1</v>
          </cell>
          <cell r="I313" t="str">
            <v>NOTA COL</v>
          </cell>
          <cell r="J313" t="str">
            <v>551</v>
          </cell>
          <cell r="K313">
            <v>-1468641</v>
          </cell>
        </row>
        <row r="314">
          <cell r="F314" t="str">
            <v>NCMI10338507</v>
          </cell>
          <cell r="G314" t="str">
            <v>9437766687</v>
          </cell>
          <cell r="H314" t="str">
            <v xml:space="preserve">  1</v>
          </cell>
          <cell r="I314" t="str">
            <v>NOTA COL</v>
          </cell>
          <cell r="J314" t="str">
            <v>551</v>
          </cell>
          <cell r="K314">
            <v>-279124</v>
          </cell>
        </row>
        <row r="315">
          <cell r="F315" t="str">
            <v>NCMI10338592</v>
          </cell>
          <cell r="G315" t="str">
            <v>9437773899</v>
          </cell>
          <cell r="H315" t="str">
            <v xml:space="preserve">  1</v>
          </cell>
          <cell r="I315" t="str">
            <v>NOTA COL</v>
          </cell>
          <cell r="J315" t="str">
            <v>551</v>
          </cell>
          <cell r="K315">
            <v>-267839.71999999997</v>
          </cell>
        </row>
        <row r="316">
          <cell r="F316" t="str">
            <v>NCMI10338508</v>
          </cell>
          <cell r="G316" t="str">
            <v>9437766688</v>
          </cell>
          <cell r="H316" t="str">
            <v xml:space="preserve">  1</v>
          </cell>
          <cell r="I316" t="str">
            <v>NOTA COL</v>
          </cell>
          <cell r="J316" t="str">
            <v>551</v>
          </cell>
          <cell r="K316">
            <v>-85000.56</v>
          </cell>
        </row>
        <row r="317">
          <cell r="F317" t="str">
            <v>917717</v>
          </cell>
          <cell r="G317" t="str">
            <v>1200012235</v>
          </cell>
          <cell r="H317" t="str">
            <v xml:space="preserve">  9</v>
          </cell>
          <cell r="I317" t="str">
            <v>FACTURA PROVEEDOR</v>
          </cell>
          <cell r="J317" t="str">
            <v>CSB</v>
          </cell>
          <cell r="K317">
            <v>583557313</v>
          </cell>
        </row>
        <row r="318">
          <cell r="F318" t="str">
            <v>917717</v>
          </cell>
          <cell r="G318" t="str">
            <v>1200012235</v>
          </cell>
          <cell r="H318" t="str">
            <v xml:space="preserve"> 23</v>
          </cell>
          <cell r="I318" t="str">
            <v>VENTAS</v>
          </cell>
          <cell r="J318" t="str">
            <v>987</v>
          </cell>
          <cell r="K318">
            <v>276440199</v>
          </cell>
        </row>
        <row r="319">
          <cell r="F319" t="str">
            <v>917717</v>
          </cell>
          <cell r="G319" t="str">
            <v>1200012235</v>
          </cell>
          <cell r="H319" t="str">
            <v xml:space="preserve"> 22</v>
          </cell>
          <cell r="I319" t="str">
            <v>VENTAS</v>
          </cell>
          <cell r="J319" t="str">
            <v>987</v>
          </cell>
          <cell r="K319">
            <v>200000000</v>
          </cell>
        </row>
        <row r="320">
          <cell r="F320" t="str">
            <v>917717</v>
          </cell>
          <cell r="G320" t="str">
            <v>1200012235</v>
          </cell>
          <cell r="H320" t="str">
            <v xml:space="preserve">  3</v>
          </cell>
          <cell r="I320" t="str">
            <v>FACTURA PROVEEDOR</v>
          </cell>
          <cell r="J320" t="str">
            <v>CSB</v>
          </cell>
          <cell r="K320">
            <v>160978215</v>
          </cell>
        </row>
        <row r="321">
          <cell r="F321" t="str">
            <v>917717</v>
          </cell>
          <cell r="G321" t="str">
            <v>1200012235</v>
          </cell>
          <cell r="H321" t="str">
            <v xml:space="preserve"> 25</v>
          </cell>
          <cell r="I321" t="str">
            <v>VENTAS</v>
          </cell>
          <cell r="J321" t="str">
            <v>987</v>
          </cell>
          <cell r="K321">
            <v>129058040</v>
          </cell>
        </row>
        <row r="322">
          <cell r="F322" t="str">
            <v>917717</v>
          </cell>
          <cell r="G322" t="str">
            <v>1200012235</v>
          </cell>
          <cell r="H322" t="str">
            <v xml:space="preserve">  7</v>
          </cell>
          <cell r="I322" t="str">
            <v>FACTURA PROVEEDOR</v>
          </cell>
          <cell r="J322" t="str">
            <v>CSB</v>
          </cell>
          <cell r="K322">
            <v>109219161</v>
          </cell>
        </row>
        <row r="323">
          <cell r="F323" t="str">
            <v>917717</v>
          </cell>
          <cell r="G323" t="str">
            <v>1200012235</v>
          </cell>
          <cell r="H323" t="str">
            <v xml:space="preserve"> 11</v>
          </cell>
          <cell r="I323" t="str">
            <v>FACTURA PROVEEDOR</v>
          </cell>
          <cell r="J323" t="str">
            <v>CSB</v>
          </cell>
          <cell r="K323">
            <v>104304191</v>
          </cell>
        </row>
        <row r="324">
          <cell r="F324" t="str">
            <v>917717</v>
          </cell>
          <cell r="G324" t="str">
            <v>1200012235</v>
          </cell>
          <cell r="H324" t="str">
            <v xml:space="preserve"> 21</v>
          </cell>
          <cell r="I324" t="str">
            <v>VENTAS</v>
          </cell>
          <cell r="J324" t="str">
            <v>987</v>
          </cell>
          <cell r="K324">
            <v>55000000</v>
          </cell>
        </row>
        <row r="325">
          <cell r="F325" t="str">
            <v>917717</v>
          </cell>
          <cell r="G325" t="str">
            <v>1200012235</v>
          </cell>
          <cell r="H325" t="str">
            <v xml:space="preserve">  2</v>
          </cell>
          <cell r="I325" t="str">
            <v>FACTURA PROVEEDOR</v>
          </cell>
          <cell r="J325" t="str">
            <v>CSB</v>
          </cell>
          <cell r="K325">
            <v>34950000</v>
          </cell>
        </row>
        <row r="326">
          <cell r="F326" t="str">
            <v>917717</v>
          </cell>
          <cell r="G326" t="str">
            <v>1200012235</v>
          </cell>
          <cell r="H326" t="str">
            <v xml:space="preserve">  8</v>
          </cell>
          <cell r="I326" t="str">
            <v>FACTURA PROVEEDOR</v>
          </cell>
          <cell r="J326" t="str">
            <v>CSB</v>
          </cell>
          <cell r="K326">
            <v>24396209</v>
          </cell>
        </row>
        <row r="327">
          <cell r="F327" t="str">
            <v>917717</v>
          </cell>
          <cell r="G327" t="str">
            <v>1200012235</v>
          </cell>
          <cell r="H327" t="str">
            <v xml:space="preserve"> 12</v>
          </cell>
          <cell r="I327" t="str">
            <v>FACTURA PROVEEDOR</v>
          </cell>
          <cell r="J327" t="str">
            <v>CSB</v>
          </cell>
          <cell r="K327">
            <v>20716790</v>
          </cell>
        </row>
        <row r="328">
          <cell r="F328" t="str">
            <v>NCM11212086</v>
          </cell>
          <cell r="G328" t="str">
            <v>9437903053</v>
          </cell>
          <cell r="H328" t="str">
            <v xml:space="preserve">  1</v>
          </cell>
          <cell r="I328" t="str">
            <v>NOTA</v>
          </cell>
          <cell r="J328" t="str">
            <v>659</v>
          </cell>
          <cell r="K328">
            <v>-11633661</v>
          </cell>
        </row>
        <row r="329">
          <cell r="F329" t="str">
            <v>917717</v>
          </cell>
          <cell r="G329" t="str">
            <v>1200012235</v>
          </cell>
          <cell r="H329" t="str">
            <v xml:space="preserve"> 28</v>
          </cell>
          <cell r="I329" t="str">
            <v>RECHAZO</v>
          </cell>
          <cell r="J329" t="str">
            <v>551</v>
          </cell>
          <cell r="K329">
            <v>9949205</v>
          </cell>
        </row>
        <row r="330">
          <cell r="F330" t="str">
            <v>917717</v>
          </cell>
          <cell r="G330" t="str">
            <v>1200012235</v>
          </cell>
          <cell r="H330" t="str">
            <v xml:space="preserve">  5</v>
          </cell>
          <cell r="I330" t="str">
            <v>FACTURA PROVEEDOR</v>
          </cell>
          <cell r="J330" t="str">
            <v>CSB</v>
          </cell>
          <cell r="K330">
            <v>9440876</v>
          </cell>
        </row>
        <row r="331">
          <cell r="F331" t="str">
            <v>917717</v>
          </cell>
          <cell r="G331" t="str">
            <v>1200012235</v>
          </cell>
          <cell r="H331" t="str">
            <v xml:space="preserve"> 57</v>
          </cell>
          <cell r="I331" t="str">
            <v>RECHAZO</v>
          </cell>
          <cell r="J331" t="str">
            <v>551</v>
          </cell>
          <cell r="K331">
            <v>8533078</v>
          </cell>
        </row>
        <row r="332">
          <cell r="F332" t="str">
            <v>917717</v>
          </cell>
          <cell r="G332" t="str">
            <v>1200012235</v>
          </cell>
          <cell r="H332" t="str">
            <v xml:space="preserve"> 49</v>
          </cell>
          <cell r="I332" t="str">
            <v>RECHAZO</v>
          </cell>
          <cell r="J332" t="str">
            <v>551</v>
          </cell>
          <cell r="K332">
            <v>7843169</v>
          </cell>
        </row>
        <row r="333">
          <cell r="F333" t="str">
            <v>917717</v>
          </cell>
          <cell r="G333" t="str">
            <v>1200012235</v>
          </cell>
          <cell r="H333" t="str">
            <v xml:space="preserve"> 56</v>
          </cell>
          <cell r="I333" t="str">
            <v>RECHAZO</v>
          </cell>
          <cell r="J333" t="str">
            <v>551</v>
          </cell>
          <cell r="K333">
            <v>6790150</v>
          </cell>
        </row>
        <row r="334">
          <cell r="F334" t="str">
            <v>917717</v>
          </cell>
          <cell r="G334" t="str">
            <v>1200012235</v>
          </cell>
          <cell r="H334" t="str">
            <v xml:space="preserve"> 20</v>
          </cell>
          <cell r="I334" t="str">
            <v>VENTAS</v>
          </cell>
          <cell r="J334" t="str">
            <v>987</v>
          </cell>
          <cell r="K334">
            <v>5434540</v>
          </cell>
        </row>
        <row r="335">
          <cell r="F335" t="str">
            <v>917717</v>
          </cell>
          <cell r="G335" t="str">
            <v>1200012235</v>
          </cell>
          <cell r="H335" t="str">
            <v xml:space="preserve"> 10</v>
          </cell>
          <cell r="I335" t="str">
            <v>FACTURA PROVEEDOR</v>
          </cell>
          <cell r="J335" t="str">
            <v>CSB</v>
          </cell>
          <cell r="K335">
            <v>5215209</v>
          </cell>
        </row>
        <row r="336">
          <cell r="F336" t="str">
            <v>917717</v>
          </cell>
          <cell r="G336" t="str">
            <v>1200012235</v>
          </cell>
          <cell r="H336" t="str">
            <v xml:space="preserve">  6</v>
          </cell>
          <cell r="I336" t="str">
            <v>FACTURA PROVEEDOR</v>
          </cell>
          <cell r="J336" t="str">
            <v>CSB</v>
          </cell>
          <cell r="K336">
            <v>3357554</v>
          </cell>
        </row>
        <row r="337">
          <cell r="F337" t="str">
            <v>917717</v>
          </cell>
          <cell r="G337" t="str">
            <v>1200012235</v>
          </cell>
          <cell r="H337" t="str">
            <v xml:space="preserve">  4</v>
          </cell>
          <cell r="I337" t="str">
            <v>FACTURA PROVEEDOR</v>
          </cell>
          <cell r="J337" t="str">
            <v>CSB</v>
          </cell>
          <cell r="K337">
            <v>2452176</v>
          </cell>
        </row>
        <row r="338">
          <cell r="F338" t="str">
            <v>917717</v>
          </cell>
          <cell r="G338" t="str">
            <v>1200012235</v>
          </cell>
          <cell r="H338" t="str">
            <v xml:space="preserve"> 43</v>
          </cell>
          <cell r="I338" t="str">
            <v>RECHAZO</v>
          </cell>
          <cell r="J338" t="str">
            <v>551</v>
          </cell>
          <cell r="K338">
            <v>1991911</v>
          </cell>
        </row>
        <row r="339">
          <cell r="F339" t="str">
            <v>917717</v>
          </cell>
          <cell r="G339" t="str">
            <v>1200012235</v>
          </cell>
          <cell r="H339" t="str">
            <v xml:space="preserve"> 24</v>
          </cell>
          <cell r="I339" t="str">
            <v>VENTAS</v>
          </cell>
          <cell r="J339" t="str">
            <v>987</v>
          </cell>
          <cell r="K339">
            <v>916887</v>
          </cell>
        </row>
        <row r="340">
          <cell r="F340" t="str">
            <v>917717</v>
          </cell>
          <cell r="G340" t="str">
            <v>1200012235</v>
          </cell>
          <cell r="H340" t="str">
            <v xml:space="preserve"> 26</v>
          </cell>
          <cell r="I340" t="str">
            <v>VENTAS</v>
          </cell>
          <cell r="J340" t="str">
            <v>987</v>
          </cell>
          <cell r="K340">
            <v>415453</v>
          </cell>
        </row>
        <row r="341">
          <cell r="F341" t="str">
            <v>917717</v>
          </cell>
          <cell r="G341" t="str">
            <v>1200012235</v>
          </cell>
          <cell r="H341" t="str">
            <v xml:space="preserve"> 14</v>
          </cell>
          <cell r="I341" t="str">
            <v>AVERIA</v>
          </cell>
          <cell r="J341" t="str">
            <v>522</v>
          </cell>
          <cell r="K341">
            <v>98806</v>
          </cell>
        </row>
        <row r="342">
          <cell r="F342" t="str">
            <v>NCMI10338872</v>
          </cell>
          <cell r="G342" t="str">
            <v>9437971572</v>
          </cell>
          <cell r="H342" t="str">
            <v xml:space="preserve">  1</v>
          </cell>
          <cell r="I342" t="str">
            <v>NOTA COL</v>
          </cell>
          <cell r="J342" t="str">
            <v>551</v>
          </cell>
          <cell r="K342">
            <v>-10469575</v>
          </cell>
        </row>
        <row r="343">
          <cell r="F343" t="str">
            <v>NCMI10338866</v>
          </cell>
          <cell r="G343" t="str">
            <v>9437943507</v>
          </cell>
          <cell r="H343" t="str">
            <v xml:space="preserve">  1</v>
          </cell>
          <cell r="I343" t="str">
            <v>NOTA COL</v>
          </cell>
          <cell r="J343" t="str">
            <v>551</v>
          </cell>
          <cell r="K343">
            <v>-804470.76</v>
          </cell>
        </row>
        <row r="344">
          <cell r="F344" t="str">
            <v>NCMI10338852</v>
          </cell>
          <cell r="G344" t="str">
            <v>9437943493</v>
          </cell>
          <cell r="H344" t="str">
            <v xml:space="preserve">  1</v>
          </cell>
          <cell r="I344" t="str">
            <v>NOTA COL</v>
          </cell>
          <cell r="J344" t="str">
            <v>551</v>
          </cell>
          <cell r="K344">
            <v>-467456</v>
          </cell>
        </row>
        <row r="345">
          <cell r="F345" t="str">
            <v>NCMI10338851</v>
          </cell>
          <cell r="G345" t="str">
            <v>9437943491</v>
          </cell>
          <cell r="H345" t="str">
            <v xml:space="preserve">  1</v>
          </cell>
          <cell r="I345" t="str">
            <v>NOTA COL</v>
          </cell>
          <cell r="J345" t="str">
            <v>551</v>
          </cell>
          <cell r="K345">
            <v>-235200.08</v>
          </cell>
        </row>
        <row r="346">
          <cell r="F346" t="str">
            <v>NCM11227525</v>
          </cell>
          <cell r="G346" t="str">
            <v>9438029691</v>
          </cell>
          <cell r="H346" t="str">
            <v xml:space="preserve">  1</v>
          </cell>
          <cell r="I346" t="str">
            <v>NOTA</v>
          </cell>
          <cell r="J346" t="str">
            <v>659</v>
          </cell>
          <cell r="K346">
            <v>-192844128</v>
          </cell>
        </row>
        <row r="347">
          <cell r="F347" t="str">
            <v>NCM11227542</v>
          </cell>
          <cell r="G347" t="str">
            <v>9438029708</v>
          </cell>
          <cell r="H347" t="str">
            <v xml:space="preserve">  1</v>
          </cell>
          <cell r="I347" t="str">
            <v>NOTA</v>
          </cell>
          <cell r="J347" t="str">
            <v>659</v>
          </cell>
          <cell r="K347">
            <v>-132538630</v>
          </cell>
        </row>
        <row r="348">
          <cell r="F348" t="str">
            <v>NCM11225706</v>
          </cell>
          <cell r="G348" t="str">
            <v>9437995012</v>
          </cell>
          <cell r="H348" t="str">
            <v xml:space="preserve">  1</v>
          </cell>
          <cell r="I348" t="str">
            <v>NOTA</v>
          </cell>
          <cell r="J348" t="str">
            <v>659</v>
          </cell>
          <cell r="K348">
            <v>-51058618</v>
          </cell>
        </row>
        <row r="349">
          <cell r="F349" t="str">
            <v>NCM11225700</v>
          </cell>
          <cell r="G349" t="str">
            <v>9437995005</v>
          </cell>
          <cell r="H349" t="str">
            <v xml:space="preserve">  1</v>
          </cell>
          <cell r="I349" t="str">
            <v>NOTA</v>
          </cell>
          <cell r="J349" t="str">
            <v>659</v>
          </cell>
          <cell r="K349">
            <v>-44743385</v>
          </cell>
        </row>
        <row r="350">
          <cell r="F350" t="str">
            <v>NCM11225692</v>
          </cell>
          <cell r="G350" t="str">
            <v>9437994996</v>
          </cell>
          <cell r="H350" t="str">
            <v xml:space="preserve">  1</v>
          </cell>
          <cell r="I350" t="str">
            <v>NOTA</v>
          </cell>
          <cell r="J350" t="str">
            <v>659</v>
          </cell>
          <cell r="K350">
            <v>-36931728</v>
          </cell>
        </row>
        <row r="351">
          <cell r="F351" t="str">
            <v>NCM11225691</v>
          </cell>
          <cell r="G351" t="str">
            <v>9437994995</v>
          </cell>
          <cell r="H351" t="str">
            <v xml:space="preserve">  1</v>
          </cell>
          <cell r="I351" t="str">
            <v>NOTA</v>
          </cell>
          <cell r="J351" t="str">
            <v>659</v>
          </cell>
          <cell r="K351">
            <v>-32363792</v>
          </cell>
        </row>
        <row r="352">
          <cell r="F352" t="str">
            <v>NCM11227536</v>
          </cell>
          <cell r="G352" t="str">
            <v>9438029702</v>
          </cell>
          <cell r="H352" t="str">
            <v xml:space="preserve">  1</v>
          </cell>
          <cell r="I352" t="str">
            <v>NOTA</v>
          </cell>
          <cell r="J352" t="str">
            <v>659</v>
          </cell>
          <cell r="K352">
            <v>-30794030</v>
          </cell>
        </row>
        <row r="353">
          <cell r="F353" t="str">
            <v>NCM11225720</v>
          </cell>
          <cell r="G353" t="str">
            <v>9437995037</v>
          </cell>
          <cell r="H353" t="str">
            <v xml:space="preserve">  1</v>
          </cell>
          <cell r="I353" t="str">
            <v>NOTA</v>
          </cell>
          <cell r="J353" t="str">
            <v>659</v>
          </cell>
          <cell r="K353">
            <v>-30271908</v>
          </cell>
        </row>
        <row r="354">
          <cell r="F354" t="str">
            <v>NCM11223911</v>
          </cell>
          <cell r="G354" t="str">
            <v>9437990549</v>
          </cell>
          <cell r="H354" t="str">
            <v xml:space="preserve">  1</v>
          </cell>
          <cell r="I354" t="str">
            <v>NOTA</v>
          </cell>
          <cell r="J354" t="str">
            <v>659</v>
          </cell>
          <cell r="K354">
            <v>-28614484</v>
          </cell>
        </row>
        <row r="355">
          <cell r="F355" t="str">
            <v>NCM11225719</v>
          </cell>
          <cell r="G355" t="str">
            <v>9437995036</v>
          </cell>
          <cell r="H355" t="str">
            <v xml:space="preserve">  1</v>
          </cell>
          <cell r="I355" t="str">
            <v>NOTA</v>
          </cell>
          <cell r="J355" t="str">
            <v>659</v>
          </cell>
          <cell r="K355">
            <v>-26527699</v>
          </cell>
        </row>
        <row r="356">
          <cell r="F356" t="str">
            <v>NCM11227537</v>
          </cell>
          <cell r="G356" t="str">
            <v>9438029703</v>
          </cell>
          <cell r="H356" t="str">
            <v xml:space="preserve">  1</v>
          </cell>
          <cell r="I356" t="str">
            <v>NOTA</v>
          </cell>
          <cell r="J356" t="str">
            <v>659</v>
          </cell>
          <cell r="K356">
            <v>-22933678</v>
          </cell>
        </row>
        <row r="357">
          <cell r="F357" t="str">
            <v>NCM11223917</v>
          </cell>
          <cell r="G357" t="str">
            <v>9437990555</v>
          </cell>
          <cell r="H357" t="str">
            <v xml:space="preserve">  1</v>
          </cell>
          <cell r="I357" t="str">
            <v>NOTA</v>
          </cell>
          <cell r="J357" t="str">
            <v>659</v>
          </cell>
          <cell r="K357">
            <v>-20400935</v>
          </cell>
        </row>
        <row r="358">
          <cell r="F358" t="str">
            <v>NCM11226734</v>
          </cell>
          <cell r="G358" t="str">
            <v>9438000734</v>
          </cell>
          <cell r="H358" t="str">
            <v xml:space="preserve">  1</v>
          </cell>
          <cell r="I358" t="str">
            <v>NOTA</v>
          </cell>
          <cell r="J358" t="str">
            <v>659</v>
          </cell>
          <cell r="K358">
            <v>-19461522</v>
          </cell>
        </row>
        <row r="359">
          <cell r="F359" t="str">
            <v>NCM11223916</v>
          </cell>
          <cell r="G359" t="str">
            <v>9437990554</v>
          </cell>
          <cell r="H359" t="str">
            <v xml:space="preserve">  1</v>
          </cell>
          <cell r="I359" t="str">
            <v>NOTA</v>
          </cell>
          <cell r="J359" t="str">
            <v>659</v>
          </cell>
          <cell r="K359">
            <v>-18546305</v>
          </cell>
        </row>
        <row r="360">
          <cell r="F360" t="str">
            <v>NCM11225718</v>
          </cell>
          <cell r="G360" t="str">
            <v>9437995035</v>
          </cell>
          <cell r="H360" t="str">
            <v xml:space="preserve">  1</v>
          </cell>
          <cell r="I360" t="str">
            <v>NOTA</v>
          </cell>
          <cell r="J360" t="str">
            <v>659</v>
          </cell>
          <cell r="K360">
            <v>-11705138</v>
          </cell>
        </row>
        <row r="361">
          <cell r="F361" t="str">
            <v>NCM11225712</v>
          </cell>
          <cell r="G361" t="str">
            <v>9437995018</v>
          </cell>
          <cell r="H361" t="str">
            <v xml:space="preserve">  1</v>
          </cell>
          <cell r="I361" t="str">
            <v>NOTA</v>
          </cell>
          <cell r="J361" t="str">
            <v>659</v>
          </cell>
          <cell r="K361">
            <v>-10257377</v>
          </cell>
        </row>
        <row r="362">
          <cell r="F362" t="str">
            <v>NCM11223915</v>
          </cell>
          <cell r="G362" t="str">
            <v>9437990553</v>
          </cell>
          <cell r="H362" t="str">
            <v xml:space="preserve">  1</v>
          </cell>
          <cell r="I362" t="str">
            <v>NOTA</v>
          </cell>
          <cell r="J362" t="str">
            <v>659</v>
          </cell>
          <cell r="K362">
            <v>-7418522</v>
          </cell>
        </row>
        <row r="363">
          <cell r="F363" t="str">
            <v>NCM11226993</v>
          </cell>
          <cell r="G363" t="str">
            <v>9438005332</v>
          </cell>
          <cell r="H363" t="str">
            <v xml:space="preserve">  1</v>
          </cell>
          <cell r="I363" t="str">
            <v>NOTA</v>
          </cell>
          <cell r="J363" t="str">
            <v>659</v>
          </cell>
          <cell r="K363">
            <v>-7082654</v>
          </cell>
        </row>
        <row r="364">
          <cell r="F364" t="str">
            <v>NCM11225694</v>
          </cell>
          <cell r="G364" t="str">
            <v>9437994998</v>
          </cell>
          <cell r="H364" t="str">
            <v xml:space="preserve">  1</v>
          </cell>
          <cell r="I364" t="str">
            <v>NOTA</v>
          </cell>
          <cell r="J364" t="str">
            <v>659</v>
          </cell>
          <cell r="K364">
            <v>-7055527</v>
          </cell>
        </row>
        <row r="365">
          <cell r="F365" t="str">
            <v>NCM11225693</v>
          </cell>
          <cell r="G365" t="str">
            <v>9437994997</v>
          </cell>
          <cell r="H365" t="str">
            <v xml:space="preserve">  1</v>
          </cell>
          <cell r="I365" t="str">
            <v>NOTA</v>
          </cell>
          <cell r="J365" t="str">
            <v>659</v>
          </cell>
          <cell r="K365">
            <v>-4895078</v>
          </cell>
        </row>
        <row r="366">
          <cell r="F366" t="str">
            <v>NCM11227156</v>
          </cell>
          <cell r="G366" t="str">
            <v>9438006225</v>
          </cell>
          <cell r="H366" t="str">
            <v xml:space="preserve">  1</v>
          </cell>
          <cell r="I366" t="str">
            <v>NOTA</v>
          </cell>
          <cell r="J366" t="str">
            <v>659</v>
          </cell>
          <cell r="K366">
            <v>-4818650</v>
          </cell>
        </row>
        <row r="367">
          <cell r="F367" t="str">
            <v>NCM11223914</v>
          </cell>
          <cell r="G367" t="str">
            <v>9437990552</v>
          </cell>
          <cell r="H367" t="str">
            <v xml:space="preserve">  1</v>
          </cell>
          <cell r="I367" t="str">
            <v>NOTA</v>
          </cell>
          <cell r="J367" t="str">
            <v>659</v>
          </cell>
          <cell r="K367">
            <v>-4636576</v>
          </cell>
        </row>
        <row r="368">
          <cell r="F368" t="str">
            <v>NCM11226736</v>
          </cell>
          <cell r="G368" t="str">
            <v>9438000737</v>
          </cell>
          <cell r="H368" t="str">
            <v xml:space="preserve">  1</v>
          </cell>
          <cell r="I368" t="str">
            <v>NOTA</v>
          </cell>
          <cell r="J368" t="str">
            <v>659</v>
          </cell>
          <cell r="K368">
            <v>-4612668</v>
          </cell>
        </row>
        <row r="369">
          <cell r="F369" t="str">
            <v>NCM11226735</v>
          </cell>
          <cell r="G369" t="str">
            <v>9438000736</v>
          </cell>
          <cell r="H369" t="str">
            <v xml:space="preserve">  1</v>
          </cell>
          <cell r="I369" t="str">
            <v>NOTA</v>
          </cell>
          <cell r="J369" t="str">
            <v>659</v>
          </cell>
          <cell r="K369">
            <v>-4413819</v>
          </cell>
        </row>
        <row r="370">
          <cell r="F370" t="str">
            <v>NCM11226737</v>
          </cell>
          <cell r="G370" t="str">
            <v>9438000738</v>
          </cell>
          <cell r="H370" t="str">
            <v xml:space="preserve">  1</v>
          </cell>
          <cell r="I370" t="str">
            <v>NOTA</v>
          </cell>
          <cell r="J370" t="str">
            <v>659</v>
          </cell>
          <cell r="K370">
            <v>-3546866</v>
          </cell>
        </row>
        <row r="371">
          <cell r="F371" t="str">
            <v>NCM11226749</v>
          </cell>
          <cell r="G371" t="str">
            <v>9438000860</v>
          </cell>
          <cell r="H371" t="str">
            <v xml:space="preserve">  1</v>
          </cell>
          <cell r="I371" t="str">
            <v>NOTA</v>
          </cell>
          <cell r="J371" t="str">
            <v>659</v>
          </cell>
          <cell r="K371">
            <v>-2180400</v>
          </cell>
        </row>
        <row r="372">
          <cell r="F372" t="str">
            <v>NCM11227165</v>
          </cell>
          <cell r="G372" t="str">
            <v>9438006275</v>
          </cell>
          <cell r="H372" t="str">
            <v xml:space="preserve">  1</v>
          </cell>
          <cell r="I372" t="str">
            <v>NOTA</v>
          </cell>
          <cell r="J372" t="str">
            <v>659</v>
          </cell>
          <cell r="K372">
            <v>-1124753</v>
          </cell>
        </row>
        <row r="373">
          <cell r="F373" t="str">
            <v>NCMI10339009</v>
          </cell>
          <cell r="G373" t="str">
            <v>9438015759</v>
          </cell>
          <cell r="H373" t="str">
            <v xml:space="preserve">  1</v>
          </cell>
          <cell r="I373" t="str">
            <v>NOTA COL</v>
          </cell>
          <cell r="J373" t="str">
            <v>551</v>
          </cell>
          <cell r="K373">
            <v>-279124</v>
          </cell>
        </row>
        <row r="374">
          <cell r="F374" t="str">
            <v>NCMI10339008</v>
          </cell>
          <cell r="G374" t="str">
            <v>9438015758</v>
          </cell>
          <cell r="H374" t="str">
            <v xml:space="preserve">  1</v>
          </cell>
          <cell r="I374" t="str">
            <v>NOTA COL</v>
          </cell>
          <cell r="J374" t="str">
            <v>551</v>
          </cell>
          <cell r="K374">
            <v>-258938.2</v>
          </cell>
        </row>
        <row r="375">
          <cell r="F375" t="str">
            <v>NCMI10339148</v>
          </cell>
          <cell r="G375" t="str">
            <v>9438035952</v>
          </cell>
          <cell r="H375" t="str">
            <v xml:space="preserve">  1</v>
          </cell>
          <cell r="I375" t="str">
            <v>NOTA COL</v>
          </cell>
          <cell r="J375" t="str">
            <v>551</v>
          </cell>
          <cell r="K375">
            <v>-189999.84</v>
          </cell>
        </row>
        <row r="376">
          <cell r="F376" t="str">
            <v>NCMI10339151</v>
          </cell>
          <cell r="G376" t="str">
            <v>9438035955</v>
          </cell>
          <cell r="H376" t="str">
            <v xml:space="preserve">  1</v>
          </cell>
          <cell r="I376" t="str">
            <v>NOTA COL</v>
          </cell>
          <cell r="J376" t="str">
            <v>551</v>
          </cell>
          <cell r="K376">
            <v>-153120.25</v>
          </cell>
        </row>
        <row r="377">
          <cell r="F377" t="str">
            <v>NCM11228099</v>
          </cell>
          <cell r="G377" t="str">
            <v>9438035891</v>
          </cell>
          <cell r="H377" t="str">
            <v xml:space="preserve">  1</v>
          </cell>
          <cell r="I377" t="str">
            <v>NOTA</v>
          </cell>
          <cell r="J377" t="str">
            <v>659</v>
          </cell>
          <cell r="K377">
            <v>-89097931</v>
          </cell>
        </row>
        <row r="378">
          <cell r="F378" t="str">
            <v>NCMI10339200</v>
          </cell>
          <cell r="G378" t="str">
            <v>9438062614</v>
          </cell>
          <cell r="H378" t="str">
            <v xml:space="preserve">  1</v>
          </cell>
          <cell r="I378" t="str">
            <v>NOTA COL</v>
          </cell>
          <cell r="J378" t="str">
            <v>551</v>
          </cell>
          <cell r="K378">
            <v>-236320</v>
          </cell>
        </row>
        <row r="379">
          <cell r="F379" t="str">
            <v>WF#170969 270825</v>
          </cell>
          <cell r="G379" t="str">
            <v>1100121640</v>
          </cell>
          <cell r="H379" t="str">
            <v xml:space="preserve">  1</v>
          </cell>
          <cell r="I379" t="str">
            <v>PDTE IDENT VTAS</v>
          </cell>
          <cell r="J379" t="str">
            <v>MCT</v>
          </cell>
          <cell r="K379">
            <v>-59648543</v>
          </cell>
        </row>
        <row r="380">
          <cell r="F380" t="str">
            <v>WF#170969 270825</v>
          </cell>
          <cell r="G380" t="str">
            <v>1100121637</v>
          </cell>
          <cell r="H380" t="str">
            <v xml:space="preserve">  1</v>
          </cell>
          <cell r="I380" t="str">
            <v>NOTA</v>
          </cell>
          <cell r="J380" t="str">
            <v>659</v>
          </cell>
          <cell r="K380">
            <v>-51090983.420000002</v>
          </cell>
        </row>
        <row r="381">
          <cell r="F381" t="str">
            <v>WF#170969 270825</v>
          </cell>
          <cell r="G381" t="str">
            <v>1100121638</v>
          </cell>
          <cell r="H381" t="str">
            <v xml:space="preserve">  1</v>
          </cell>
          <cell r="I381" t="str">
            <v>NOTA</v>
          </cell>
          <cell r="J381" t="str">
            <v>659</v>
          </cell>
          <cell r="K381">
            <v>-28082942</v>
          </cell>
        </row>
        <row r="382">
          <cell r="F382" t="str">
            <v>WF#170969 270825</v>
          </cell>
          <cell r="G382" t="str">
            <v>1100121633</v>
          </cell>
          <cell r="H382" t="str">
            <v xml:space="preserve">  1</v>
          </cell>
          <cell r="I382" t="str">
            <v>PDTE IDENT VTAS</v>
          </cell>
          <cell r="J382" t="str">
            <v>MCT</v>
          </cell>
          <cell r="K382">
            <v>-5503300</v>
          </cell>
        </row>
        <row r="383">
          <cell r="F383" t="str">
            <v>WF#170969 270825</v>
          </cell>
          <cell r="G383" t="str">
            <v>1100121634</v>
          </cell>
          <cell r="H383" t="str">
            <v xml:space="preserve">  1</v>
          </cell>
          <cell r="I383" t="str">
            <v>NOTA</v>
          </cell>
          <cell r="J383" t="str">
            <v>659</v>
          </cell>
          <cell r="K383">
            <v>-4178889</v>
          </cell>
        </row>
        <row r="384">
          <cell r="F384" t="str">
            <v>WF#170969 270825</v>
          </cell>
          <cell r="G384" t="str">
            <v>1100121639</v>
          </cell>
          <cell r="H384" t="str">
            <v xml:space="preserve">  1</v>
          </cell>
          <cell r="I384" t="str">
            <v>NOTA</v>
          </cell>
          <cell r="J384" t="str">
            <v>659</v>
          </cell>
          <cell r="K384">
            <v>-2019843.96</v>
          </cell>
        </row>
        <row r="385">
          <cell r="F385" t="str">
            <v>WF#170969 270825</v>
          </cell>
          <cell r="G385" t="str">
            <v>1100121635</v>
          </cell>
          <cell r="H385" t="str">
            <v xml:space="preserve">  1</v>
          </cell>
          <cell r="I385" t="str">
            <v>NOTA</v>
          </cell>
          <cell r="J385" t="str">
            <v>657</v>
          </cell>
          <cell r="K385">
            <v>-1303292</v>
          </cell>
        </row>
        <row r="386">
          <cell r="F386" t="str">
            <v>WF#170969 270825</v>
          </cell>
          <cell r="G386" t="str">
            <v>1100121636</v>
          </cell>
          <cell r="H386" t="str">
            <v xml:space="preserve">  1</v>
          </cell>
          <cell r="I386" t="str">
            <v>NOTA</v>
          </cell>
          <cell r="J386" t="str">
            <v>659</v>
          </cell>
          <cell r="K386">
            <v>-1003434.96</v>
          </cell>
        </row>
        <row r="387">
          <cell r="F387" t="str">
            <v>WF#170969 270825</v>
          </cell>
          <cell r="G387" t="str">
            <v>1100121631</v>
          </cell>
          <cell r="H387" t="str">
            <v xml:space="preserve">  1</v>
          </cell>
          <cell r="I387" t="str">
            <v>NOTA</v>
          </cell>
          <cell r="J387" t="str">
            <v>657</v>
          </cell>
          <cell r="K387">
            <v>-538258.54</v>
          </cell>
        </row>
        <row r="388">
          <cell r="F388" t="str">
            <v>WF#170969 270825</v>
          </cell>
          <cell r="G388" t="str">
            <v>1100121632</v>
          </cell>
          <cell r="H388" t="str">
            <v xml:space="preserve">  1</v>
          </cell>
          <cell r="I388" t="str">
            <v>CONVENIOS</v>
          </cell>
          <cell r="J388" t="str">
            <v>657</v>
          </cell>
          <cell r="K388">
            <v>434142.97</v>
          </cell>
        </row>
        <row r="389">
          <cell r="F389" t="str">
            <v>50334</v>
          </cell>
          <cell r="G389" t="str">
            <v>1200012553</v>
          </cell>
          <cell r="H389" t="str">
            <v xml:space="preserve">  3</v>
          </cell>
          <cell r="I389" t="str">
            <v>AVERIA</v>
          </cell>
          <cell r="J389" t="str">
            <v>522</v>
          </cell>
          <cell r="K389">
            <v>221909</v>
          </cell>
        </row>
        <row r="390">
          <cell r="F390" t="str">
            <v>PMP1260691</v>
          </cell>
          <cell r="G390" t="str">
            <v>9436159025</v>
          </cell>
          <cell r="H390" t="str">
            <v xml:space="preserve">  1</v>
          </cell>
          <cell r="I390" t="str">
            <v>FACTURA DE VENTA</v>
          </cell>
          <cell r="J390" t="str">
            <v>Z02</v>
          </cell>
          <cell r="K390">
            <v>603147451.08000004</v>
          </cell>
        </row>
        <row r="391">
          <cell r="F391" t="str">
            <v>PMP1260361</v>
          </cell>
          <cell r="G391" t="str">
            <v>9436125980</v>
          </cell>
          <cell r="H391" t="str">
            <v xml:space="preserve">  1</v>
          </cell>
          <cell r="I391" t="str">
            <v>FACTURA DE VENTA</v>
          </cell>
          <cell r="J391" t="str">
            <v>Z02</v>
          </cell>
          <cell r="K391">
            <v>466448697.36000001</v>
          </cell>
        </row>
        <row r="392">
          <cell r="F392" t="str">
            <v>PMP1260692</v>
          </cell>
          <cell r="G392" t="str">
            <v>9436159026</v>
          </cell>
          <cell r="H392" t="str">
            <v xml:space="preserve">  1</v>
          </cell>
          <cell r="I392" t="str">
            <v>FACTURA DE VENTA</v>
          </cell>
          <cell r="J392" t="str">
            <v>Z02</v>
          </cell>
          <cell r="K392">
            <v>226827779.59999999</v>
          </cell>
        </row>
        <row r="393">
          <cell r="F393" t="str">
            <v>PMP1260360</v>
          </cell>
          <cell r="G393" t="str">
            <v>9436125939</v>
          </cell>
          <cell r="H393" t="str">
            <v xml:space="preserve">  1</v>
          </cell>
          <cell r="I393" t="str">
            <v>FACTURA DE VENTA</v>
          </cell>
          <cell r="J393" t="str">
            <v>Z02</v>
          </cell>
          <cell r="K393">
            <v>169197997.5</v>
          </cell>
        </row>
        <row r="394">
          <cell r="F394" t="str">
            <v>PMP1260359</v>
          </cell>
          <cell r="G394" t="str">
            <v>9436125938</v>
          </cell>
          <cell r="H394" t="str">
            <v xml:space="preserve">  1</v>
          </cell>
          <cell r="I394" t="str">
            <v>FACTURA DE VENTA</v>
          </cell>
          <cell r="J394" t="str">
            <v>Z02</v>
          </cell>
          <cell r="K394">
            <v>127722352.84</v>
          </cell>
        </row>
        <row r="395">
          <cell r="F395" t="str">
            <v>PMP1260693</v>
          </cell>
          <cell r="G395" t="str">
            <v>9436159027</v>
          </cell>
          <cell r="H395" t="str">
            <v xml:space="preserve">  1</v>
          </cell>
          <cell r="I395" t="str">
            <v>FACTURA DE VENTA</v>
          </cell>
          <cell r="J395" t="str">
            <v>Z02</v>
          </cell>
          <cell r="K395">
            <v>60594951.829999998</v>
          </cell>
        </row>
        <row r="396">
          <cell r="F396" t="str">
            <v>PMP1260690</v>
          </cell>
          <cell r="G396" t="str">
            <v>9436159024</v>
          </cell>
          <cell r="H396" t="str">
            <v xml:space="preserve">  1</v>
          </cell>
          <cell r="I396" t="str">
            <v>FACTURA DE VENTA</v>
          </cell>
          <cell r="J396" t="str">
            <v>Z02</v>
          </cell>
          <cell r="K396">
            <v>25005708</v>
          </cell>
        </row>
        <row r="397">
          <cell r="F397" t="str">
            <v>PMP1260358</v>
          </cell>
          <cell r="G397" t="str">
            <v>9436125937</v>
          </cell>
          <cell r="H397" t="str">
            <v xml:space="preserve">  1</v>
          </cell>
          <cell r="I397" t="str">
            <v>FACTURA DE VENTA</v>
          </cell>
          <cell r="J397" t="str">
            <v>Z02</v>
          </cell>
          <cell r="K397">
            <v>19382530</v>
          </cell>
        </row>
        <row r="398">
          <cell r="F398" t="str">
            <v>PMP1260363</v>
          </cell>
          <cell r="G398" t="str">
            <v>9436125982</v>
          </cell>
          <cell r="H398" t="str">
            <v xml:space="preserve">  1</v>
          </cell>
          <cell r="I398" t="str">
            <v>FACTURA DE VENTA</v>
          </cell>
          <cell r="J398" t="str">
            <v>Z02</v>
          </cell>
          <cell r="K398">
            <v>6450633</v>
          </cell>
        </row>
        <row r="399">
          <cell r="F399" t="str">
            <v>PMP1260362</v>
          </cell>
          <cell r="G399" t="str">
            <v>9436125981</v>
          </cell>
          <cell r="H399" t="str">
            <v xml:space="preserve">  1</v>
          </cell>
          <cell r="I399" t="str">
            <v>FACTURA DE VENTA</v>
          </cell>
          <cell r="J399" t="str">
            <v>Z02</v>
          </cell>
          <cell r="K399">
            <v>695950</v>
          </cell>
        </row>
        <row r="400">
          <cell r="F400" t="str">
            <v>PMP1260545</v>
          </cell>
          <cell r="G400" t="str">
            <v>9436131120</v>
          </cell>
          <cell r="H400" t="str">
            <v xml:space="preserve">  1</v>
          </cell>
          <cell r="I400" t="str">
            <v>FACTURA DE VENTA</v>
          </cell>
          <cell r="J400" t="str">
            <v>Z02</v>
          </cell>
          <cell r="K400">
            <v>183557983.97999999</v>
          </cell>
        </row>
        <row r="401">
          <cell r="F401" t="str">
            <v>PMP1261022</v>
          </cell>
          <cell r="G401" t="str">
            <v>9436180766</v>
          </cell>
          <cell r="H401" t="str">
            <v xml:space="preserve">  1</v>
          </cell>
          <cell r="I401" t="str">
            <v>FACTURA DE VENTA</v>
          </cell>
          <cell r="J401" t="str">
            <v>Z02</v>
          </cell>
          <cell r="K401">
            <v>80498930.519999996</v>
          </cell>
        </row>
        <row r="402">
          <cell r="F402" t="str">
            <v>PMP1260542</v>
          </cell>
          <cell r="G402" t="str">
            <v>9436130977</v>
          </cell>
          <cell r="H402" t="str">
            <v xml:space="preserve">  1</v>
          </cell>
          <cell r="I402" t="str">
            <v>FACTURA DE VENTA</v>
          </cell>
          <cell r="J402" t="str">
            <v>Z02</v>
          </cell>
          <cell r="K402">
            <v>62787807.159999996</v>
          </cell>
        </row>
        <row r="403">
          <cell r="F403" t="str">
            <v>PMP1260541</v>
          </cell>
          <cell r="G403" t="str">
            <v>9436130976</v>
          </cell>
          <cell r="H403" t="str">
            <v xml:space="preserve">  1</v>
          </cell>
          <cell r="I403" t="str">
            <v>FACTURA DE VENTA</v>
          </cell>
          <cell r="J403" t="str">
            <v>Z02</v>
          </cell>
          <cell r="K403">
            <v>41046943.039999999</v>
          </cell>
        </row>
        <row r="404">
          <cell r="F404" t="str">
            <v>PMP1260540</v>
          </cell>
          <cell r="G404" t="str">
            <v>9436130975</v>
          </cell>
          <cell r="H404" t="str">
            <v xml:space="preserve">  1</v>
          </cell>
          <cell r="I404" t="str">
            <v>FACTURA DE VENTA</v>
          </cell>
          <cell r="J404" t="str">
            <v>Z02</v>
          </cell>
          <cell r="K404">
            <v>12941364</v>
          </cell>
        </row>
        <row r="405">
          <cell r="F405" t="str">
            <v>PMP1261021</v>
          </cell>
          <cell r="G405" t="str">
            <v>9436180764</v>
          </cell>
          <cell r="H405" t="str">
            <v xml:space="preserve">  1</v>
          </cell>
          <cell r="I405" t="str">
            <v>FACTURA DE VENTA</v>
          </cell>
          <cell r="J405" t="str">
            <v>Z02</v>
          </cell>
          <cell r="K405">
            <v>5955580.5999999996</v>
          </cell>
        </row>
        <row r="406">
          <cell r="F406" t="str">
            <v>PMP1260544</v>
          </cell>
          <cell r="G406" t="str">
            <v>9436130979</v>
          </cell>
          <cell r="H406" t="str">
            <v xml:space="preserve">  1</v>
          </cell>
          <cell r="I406" t="str">
            <v>FACTURA DE VENTA</v>
          </cell>
          <cell r="J406" t="str">
            <v>Z02</v>
          </cell>
          <cell r="K406">
            <v>4251270</v>
          </cell>
        </row>
        <row r="407">
          <cell r="F407" t="str">
            <v>NCMI10339884</v>
          </cell>
          <cell r="G407" t="str">
            <v>9438357311</v>
          </cell>
          <cell r="H407" t="str">
            <v xml:space="preserve">  1</v>
          </cell>
          <cell r="I407" t="str">
            <v>NOTA COL</v>
          </cell>
          <cell r="J407" t="str">
            <v>551</v>
          </cell>
          <cell r="K407">
            <v>-94999.92</v>
          </cell>
        </row>
        <row r="408">
          <cell r="F408" t="str">
            <v>PMP1260543</v>
          </cell>
          <cell r="G408" t="str">
            <v>9436130978</v>
          </cell>
          <cell r="H408" t="str">
            <v xml:space="preserve">  1</v>
          </cell>
          <cell r="I408" t="str">
            <v>FACTURA DE VENTA</v>
          </cell>
          <cell r="J408" t="str">
            <v>Z02</v>
          </cell>
          <cell r="K408">
            <v>86994</v>
          </cell>
        </row>
        <row r="409">
          <cell r="F409" t="str">
            <v>PMP1260050</v>
          </cell>
          <cell r="G409" t="str">
            <v>9436094592</v>
          </cell>
          <cell r="H409" t="str">
            <v xml:space="preserve">  1</v>
          </cell>
          <cell r="I409" t="str">
            <v>FACTURA DE VENTA</v>
          </cell>
          <cell r="J409" t="str">
            <v>Z02</v>
          </cell>
          <cell r="K409">
            <v>79579683.079999998</v>
          </cell>
        </row>
        <row r="410">
          <cell r="F410" t="str">
            <v>PMP1260052</v>
          </cell>
          <cell r="G410" t="str">
            <v>9436094594</v>
          </cell>
          <cell r="H410" t="str">
            <v xml:space="preserve">  1</v>
          </cell>
          <cell r="I410" t="str">
            <v>FACTURA DE VENTA</v>
          </cell>
          <cell r="J410" t="str">
            <v>Z02</v>
          </cell>
          <cell r="K410">
            <v>40580737.880000003</v>
          </cell>
        </row>
        <row r="411">
          <cell r="F411" t="str">
            <v>PMP1260051</v>
          </cell>
          <cell r="G411" t="str">
            <v>9436094593</v>
          </cell>
          <cell r="H411" t="str">
            <v xml:space="preserve">  1</v>
          </cell>
          <cell r="I411" t="str">
            <v>FACTURA DE VENTA</v>
          </cell>
          <cell r="J411" t="str">
            <v>Z02</v>
          </cell>
          <cell r="K411">
            <v>5751231.5999999996</v>
          </cell>
        </row>
        <row r="412">
          <cell r="F412" t="str">
            <v>PMP1260049</v>
          </cell>
          <cell r="G412" t="str">
            <v>9436094591</v>
          </cell>
          <cell r="H412" t="str">
            <v xml:space="preserve">  1</v>
          </cell>
          <cell r="I412" t="str">
            <v>FACTURA DE VENTA</v>
          </cell>
          <cell r="J412" t="str">
            <v>Z02</v>
          </cell>
          <cell r="K412">
            <v>3884074</v>
          </cell>
        </row>
        <row r="413">
          <cell r="F413" t="str">
            <v>932568</v>
          </cell>
          <cell r="G413" t="str">
            <v>1200013028</v>
          </cell>
          <cell r="H413" t="str">
            <v xml:space="preserve"> 18</v>
          </cell>
          <cell r="I413" t="str">
            <v>RECHAZO</v>
          </cell>
          <cell r="J413" t="str">
            <v>551</v>
          </cell>
          <cell r="K413">
            <v>2129660</v>
          </cell>
        </row>
        <row r="414">
          <cell r="F414" t="str">
            <v>932568</v>
          </cell>
          <cell r="G414" t="str">
            <v>1200013028</v>
          </cell>
          <cell r="H414" t="str">
            <v xml:space="preserve"> 13</v>
          </cell>
          <cell r="I414" t="str">
            <v>RECHAZO</v>
          </cell>
          <cell r="J414" t="str">
            <v>551</v>
          </cell>
          <cell r="K414">
            <v>199384</v>
          </cell>
        </row>
        <row r="415">
          <cell r="F415" t="str">
            <v>932568</v>
          </cell>
          <cell r="G415" t="str">
            <v>1200013028</v>
          </cell>
          <cell r="H415" t="str">
            <v xml:space="preserve"> 11</v>
          </cell>
          <cell r="I415" t="str">
            <v>AVERIA</v>
          </cell>
          <cell r="J415" t="str">
            <v>522</v>
          </cell>
          <cell r="K415">
            <v>195836</v>
          </cell>
        </row>
        <row r="416">
          <cell r="F416" t="str">
            <v>932568</v>
          </cell>
          <cell r="G416" t="str">
            <v>1200013028</v>
          </cell>
          <cell r="H416" t="str">
            <v xml:space="preserve"> 14</v>
          </cell>
          <cell r="I416" t="str">
            <v>RECHAZO</v>
          </cell>
          <cell r="J416" t="str">
            <v>551</v>
          </cell>
          <cell r="K416">
            <v>195800</v>
          </cell>
        </row>
        <row r="417">
          <cell r="F417" t="str">
            <v>932568</v>
          </cell>
          <cell r="G417" t="str">
            <v>1200013028</v>
          </cell>
          <cell r="H417" t="str">
            <v xml:space="preserve"> 17</v>
          </cell>
          <cell r="I417" t="str">
            <v>RECHAZO</v>
          </cell>
          <cell r="J417" t="str">
            <v>551</v>
          </cell>
          <cell r="K417">
            <v>195737</v>
          </cell>
        </row>
        <row r="418">
          <cell r="F418" t="str">
            <v>932568</v>
          </cell>
          <cell r="G418" t="str">
            <v>1200013028</v>
          </cell>
          <cell r="H418" t="str">
            <v xml:space="preserve"> 15</v>
          </cell>
          <cell r="I418" t="str">
            <v>RECHAZO</v>
          </cell>
          <cell r="J418" t="str">
            <v>551</v>
          </cell>
          <cell r="K418">
            <v>144207</v>
          </cell>
        </row>
        <row r="419">
          <cell r="F419" t="str">
            <v>932568</v>
          </cell>
          <cell r="G419" t="str">
            <v>1200013028</v>
          </cell>
          <cell r="H419" t="str">
            <v xml:space="preserve">  9</v>
          </cell>
          <cell r="I419" t="str">
            <v>AVERIA</v>
          </cell>
          <cell r="J419" t="str">
            <v>522</v>
          </cell>
          <cell r="K419">
            <v>106845</v>
          </cell>
        </row>
        <row r="420">
          <cell r="F420" t="str">
            <v>932568</v>
          </cell>
          <cell r="G420" t="str">
            <v>1200013028</v>
          </cell>
          <cell r="H420" t="str">
            <v xml:space="preserve"> 10</v>
          </cell>
          <cell r="I420" t="str">
            <v>AVERIA</v>
          </cell>
          <cell r="J420" t="str">
            <v>522</v>
          </cell>
          <cell r="K420">
            <v>71667</v>
          </cell>
        </row>
        <row r="421">
          <cell r="F421" t="str">
            <v>932568</v>
          </cell>
          <cell r="G421" t="str">
            <v>1200013028</v>
          </cell>
          <cell r="H421" t="str">
            <v xml:space="preserve">  6</v>
          </cell>
          <cell r="I421" t="str">
            <v>AVERIA</v>
          </cell>
          <cell r="J421" t="str">
            <v>522</v>
          </cell>
          <cell r="K421">
            <v>34201</v>
          </cell>
        </row>
        <row r="422">
          <cell r="F422" t="str">
            <v>932568</v>
          </cell>
          <cell r="G422" t="str">
            <v>1200013028</v>
          </cell>
          <cell r="H422" t="str">
            <v xml:space="preserve">  7</v>
          </cell>
          <cell r="I422" t="str">
            <v>AVERIA</v>
          </cell>
          <cell r="J422" t="str">
            <v>522</v>
          </cell>
          <cell r="K422">
            <v>18549</v>
          </cell>
        </row>
        <row r="423">
          <cell r="F423" t="str">
            <v>932568</v>
          </cell>
          <cell r="G423" t="str">
            <v>1200013028</v>
          </cell>
          <cell r="H423" t="str">
            <v xml:space="preserve">  3</v>
          </cell>
          <cell r="I423" t="str">
            <v>AVERIA</v>
          </cell>
          <cell r="J423" t="str">
            <v>522</v>
          </cell>
          <cell r="K423">
            <v>16320</v>
          </cell>
        </row>
        <row r="424">
          <cell r="F424" t="str">
            <v>932568</v>
          </cell>
          <cell r="G424" t="str">
            <v>1200013028</v>
          </cell>
          <cell r="H424" t="str">
            <v xml:space="preserve">  4</v>
          </cell>
          <cell r="I424" t="str">
            <v>AVERIA</v>
          </cell>
          <cell r="J424" t="str">
            <v>522</v>
          </cell>
          <cell r="K424">
            <v>16320</v>
          </cell>
        </row>
        <row r="425">
          <cell r="F425" t="str">
            <v>932568</v>
          </cell>
          <cell r="G425" t="str">
            <v>1200013028</v>
          </cell>
          <cell r="H425" t="str">
            <v xml:space="preserve">  5</v>
          </cell>
          <cell r="I425" t="str">
            <v>AVERIA</v>
          </cell>
          <cell r="J425" t="str">
            <v>522</v>
          </cell>
          <cell r="K425">
            <v>16320</v>
          </cell>
        </row>
        <row r="426">
          <cell r="F426" t="str">
            <v>932568</v>
          </cell>
          <cell r="G426" t="str">
            <v>1200013028</v>
          </cell>
          <cell r="H426" t="str">
            <v xml:space="preserve"> 12</v>
          </cell>
          <cell r="I426" t="str">
            <v>AVERIA</v>
          </cell>
          <cell r="J426" t="str">
            <v>522</v>
          </cell>
          <cell r="K426">
            <v>16320</v>
          </cell>
        </row>
        <row r="427">
          <cell r="F427" t="str">
            <v>932568</v>
          </cell>
          <cell r="G427" t="str">
            <v>1200013028</v>
          </cell>
          <cell r="H427" t="str">
            <v xml:space="preserve">  8</v>
          </cell>
          <cell r="I427" t="str">
            <v>AVERIA</v>
          </cell>
          <cell r="J427" t="str">
            <v>522</v>
          </cell>
          <cell r="K427">
            <v>7083</v>
          </cell>
        </row>
        <row r="428">
          <cell r="F428" t="str">
            <v>932568</v>
          </cell>
          <cell r="G428" t="str">
            <v>1200013028</v>
          </cell>
          <cell r="H428" t="str">
            <v xml:space="preserve"> 16</v>
          </cell>
          <cell r="I428" t="str">
            <v>RECHAZO</v>
          </cell>
          <cell r="J428" t="str">
            <v>551</v>
          </cell>
          <cell r="K428">
            <v>436</v>
          </cell>
        </row>
        <row r="429">
          <cell r="F429" t="str">
            <v>PMP1263234</v>
          </cell>
          <cell r="G429" t="str">
            <v>9436348976</v>
          </cell>
          <cell r="H429" t="str">
            <v xml:space="preserve">  1</v>
          </cell>
          <cell r="I429" t="str">
            <v>FACTURA DE VENTA</v>
          </cell>
          <cell r="J429" t="str">
            <v>Z02</v>
          </cell>
          <cell r="K429">
            <v>169353910.84</v>
          </cell>
        </row>
        <row r="430">
          <cell r="F430" t="str">
            <v>PMP1263235</v>
          </cell>
          <cell r="G430" t="str">
            <v>9436348977</v>
          </cell>
          <cell r="H430" t="str">
            <v xml:space="preserve">  1</v>
          </cell>
          <cell r="I430" t="str">
            <v>FACTURA DE VENTA</v>
          </cell>
          <cell r="J430" t="str">
            <v>Z02</v>
          </cell>
          <cell r="K430">
            <v>12674545</v>
          </cell>
        </row>
        <row r="431">
          <cell r="F431" t="str">
            <v>PMP1261956</v>
          </cell>
          <cell r="G431" t="str">
            <v>9436251327</v>
          </cell>
          <cell r="H431" t="str">
            <v xml:space="preserve">  1</v>
          </cell>
          <cell r="I431" t="str">
            <v>FACTURA DE VENTA</v>
          </cell>
          <cell r="J431" t="str">
            <v>Z02</v>
          </cell>
          <cell r="K431">
            <v>881876</v>
          </cell>
        </row>
        <row r="432">
          <cell r="F432" t="str">
            <v>PMP1263391</v>
          </cell>
          <cell r="G432" t="str">
            <v>9436351488</v>
          </cell>
          <cell r="H432" t="str">
            <v xml:space="preserve">  1</v>
          </cell>
          <cell r="I432" t="str">
            <v>FACTURA DE VENTA</v>
          </cell>
          <cell r="J432" t="str">
            <v>Z02</v>
          </cell>
          <cell r="K432">
            <v>284216762.45999998</v>
          </cell>
        </row>
        <row r="433">
          <cell r="F433" t="str">
            <v>PMP1263393</v>
          </cell>
          <cell r="G433" t="str">
            <v>9436351580</v>
          </cell>
          <cell r="H433" t="str">
            <v xml:space="preserve">  1</v>
          </cell>
          <cell r="I433" t="str">
            <v>FACTURA DE VENTA</v>
          </cell>
          <cell r="J433" t="str">
            <v>Z02</v>
          </cell>
          <cell r="K433">
            <v>118098127.48</v>
          </cell>
        </row>
        <row r="434">
          <cell r="F434" t="str">
            <v>PMP1263392</v>
          </cell>
          <cell r="G434" t="str">
            <v>9436351489</v>
          </cell>
          <cell r="H434" t="str">
            <v xml:space="preserve">  1</v>
          </cell>
          <cell r="I434" t="str">
            <v>FACTURA DE VENTA</v>
          </cell>
          <cell r="J434" t="str">
            <v>Z02</v>
          </cell>
          <cell r="K434">
            <v>84565032.719999999</v>
          </cell>
        </row>
        <row r="435">
          <cell r="F435" t="str">
            <v>PMP1263390</v>
          </cell>
          <cell r="G435" t="str">
            <v>9436351487</v>
          </cell>
          <cell r="H435" t="str">
            <v xml:space="preserve">  1</v>
          </cell>
          <cell r="I435" t="str">
            <v>FACTURA DE VENTA</v>
          </cell>
          <cell r="J435" t="str">
            <v>Z02</v>
          </cell>
          <cell r="K435">
            <v>7582323</v>
          </cell>
        </row>
        <row r="436">
          <cell r="F436" t="str">
            <v>NCMI10340140</v>
          </cell>
          <cell r="G436" t="str">
            <v>9438476267</v>
          </cell>
          <cell r="H436" t="str">
            <v xml:space="preserve">  1</v>
          </cell>
          <cell r="I436" t="str">
            <v>NOTA COL</v>
          </cell>
          <cell r="J436" t="str">
            <v>551</v>
          </cell>
          <cell r="K436">
            <v>-4697945.5999999996</v>
          </cell>
        </row>
        <row r="437">
          <cell r="F437" t="str">
            <v>NCMI10340139</v>
          </cell>
          <cell r="G437" t="str">
            <v>9438476266</v>
          </cell>
          <cell r="H437" t="str">
            <v xml:space="preserve">  1</v>
          </cell>
          <cell r="I437" t="str">
            <v>NOTA COL</v>
          </cell>
          <cell r="J437" t="str">
            <v>551</v>
          </cell>
          <cell r="K437">
            <v>-530000.07999999996</v>
          </cell>
        </row>
        <row r="438">
          <cell r="F438" t="str">
            <v>NCMI10340187</v>
          </cell>
          <cell r="G438" t="str">
            <v>9438477042</v>
          </cell>
          <cell r="H438" t="str">
            <v xml:space="preserve">  1</v>
          </cell>
          <cell r="I438" t="str">
            <v>NOTA COL</v>
          </cell>
          <cell r="J438" t="str">
            <v>551</v>
          </cell>
          <cell r="K438">
            <v>-243161</v>
          </cell>
        </row>
        <row r="439">
          <cell r="F439" t="str">
            <v>NCMI10340186</v>
          </cell>
          <cell r="G439" t="str">
            <v>9438477040</v>
          </cell>
          <cell r="H439" t="str">
            <v xml:space="preserve">  1</v>
          </cell>
          <cell r="I439" t="str">
            <v>NOTA COL</v>
          </cell>
          <cell r="J439" t="str">
            <v>551</v>
          </cell>
          <cell r="K439">
            <v>-179450.92</v>
          </cell>
        </row>
        <row r="440">
          <cell r="F440" t="str">
            <v>NCMI10340214</v>
          </cell>
          <cell r="G440" t="str">
            <v>9438478072</v>
          </cell>
          <cell r="H440" t="str">
            <v xml:space="preserve">  1</v>
          </cell>
          <cell r="I440" t="str">
            <v>NOTA COL</v>
          </cell>
          <cell r="J440" t="str">
            <v>551</v>
          </cell>
          <cell r="K440">
            <v>-91512.24</v>
          </cell>
        </row>
        <row r="441">
          <cell r="F441" t="str">
            <v>NCMI10340299</v>
          </cell>
          <cell r="G441" t="str">
            <v>9438520334</v>
          </cell>
          <cell r="H441" t="str">
            <v xml:space="preserve">  1</v>
          </cell>
          <cell r="I441" t="str">
            <v>NOTA COL</v>
          </cell>
          <cell r="J441" t="str">
            <v>551</v>
          </cell>
          <cell r="K441">
            <v>-236320</v>
          </cell>
        </row>
        <row r="442">
          <cell r="F442" t="str">
            <v>NCMI10340300</v>
          </cell>
          <cell r="G442" t="str">
            <v>9438520335</v>
          </cell>
          <cell r="H442" t="str">
            <v xml:space="preserve">  1</v>
          </cell>
          <cell r="I442" t="str">
            <v>NOTA COL</v>
          </cell>
          <cell r="J442" t="str">
            <v>551</v>
          </cell>
          <cell r="K442">
            <v>-186149</v>
          </cell>
        </row>
        <row r="443">
          <cell r="F443" t="str">
            <v>PMP1263720</v>
          </cell>
          <cell r="G443" t="str">
            <v>9436395565</v>
          </cell>
          <cell r="H443" t="str">
            <v xml:space="preserve">  1</v>
          </cell>
          <cell r="I443" t="str">
            <v>FACTURA DE VENTA</v>
          </cell>
          <cell r="J443" t="str">
            <v>Z02</v>
          </cell>
          <cell r="K443">
            <v>558195734.10000002</v>
          </cell>
        </row>
        <row r="444">
          <cell r="F444" t="str">
            <v>PMP1263587</v>
          </cell>
          <cell r="G444" t="str">
            <v>9436392915</v>
          </cell>
          <cell r="H444" t="str">
            <v xml:space="preserve">  1</v>
          </cell>
          <cell r="I444" t="str">
            <v>FACTURA DE VENTA</v>
          </cell>
          <cell r="J444" t="str">
            <v>Z02</v>
          </cell>
          <cell r="K444">
            <v>557612357.38</v>
          </cell>
        </row>
        <row r="445">
          <cell r="F445" t="str">
            <v>PMP1263585</v>
          </cell>
          <cell r="G445" t="str">
            <v>9436392913</v>
          </cell>
          <cell r="H445" t="str">
            <v xml:space="preserve">  1</v>
          </cell>
          <cell r="I445" t="str">
            <v>FACTURA DE VENTA</v>
          </cell>
          <cell r="J445" t="str">
            <v>Z02</v>
          </cell>
          <cell r="K445">
            <v>196989499.99000001</v>
          </cell>
        </row>
        <row r="446">
          <cell r="F446" t="str">
            <v>PMP1263586</v>
          </cell>
          <cell r="G446" t="str">
            <v>9436392914</v>
          </cell>
          <cell r="H446" t="str">
            <v xml:space="preserve">  1</v>
          </cell>
          <cell r="I446" t="str">
            <v>FACTURA DE VENTA</v>
          </cell>
          <cell r="J446" t="str">
            <v>Z02</v>
          </cell>
          <cell r="K446">
            <v>120370911.31999999</v>
          </cell>
        </row>
        <row r="447">
          <cell r="F447" t="str">
            <v>PMP1263719</v>
          </cell>
          <cell r="G447" t="str">
            <v>9436395564</v>
          </cell>
          <cell r="H447" t="str">
            <v xml:space="preserve">  1</v>
          </cell>
          <cell r="I447" t="str">
            <v>FACTURA DE VENTA</v>
          </cell>
          <cell r="J447" t="str">
            <v>Z02</v>
          </cell>
          <cell r="K447">
            <v>119283921.44</v>
          </cell>
        </row>
        <row r="448">
          <cell r="F448" t="str">
            <v>PMP1263718</v>
          </cell>
          <cell r="G448" t="str">
            <v>9436395563</v>
          </cell>
          <cell r="H448" t="str">
            <v xml:space="preserve">  1</v>
          </cell>
          <cell r="I448" t="str">
            <v>FACTURA DE VENTA</v>
          </cell>
          <cell r="J448" t="str">
            <v>Z02</v>
          </cell>
          <cell r="K448">
            <v>114812601.58</v>
          </cell>
        </row>
        <row r="449">
          <cell r="F449" t="str">
            <v>PMP1263716</v>
          </cell>
          <cell r="G449" t="str">
            <v>9436395561</v>
          </cell>
          <cell r="H449" t="str">
            <v xml:space="preserve">  1</v>
          </cell>
          <cell r="I449" t="str">
            <v>FACTURA DE VENTA</v>
          </cell>
          <cell r="J449" t="str">
            <v>Z02</v>
          </cell>
          <cell r="K449">
            <v>35379113.439999998</v>
          </cell>
        </row>
        <row r="450">
          <cell r="F450" t="str">
            <v>PMP1263582</v>
          </cell>
          <cell r="G450" t="str">
            <v>9436392910</v>
          </cell>
          <cell r="H450" t="str">
            <v xml:space="preserve">  1</v>
          </cell>
          <cell r="I450" t="str">
            <v>FACTURA DE VENTA</v>
          </cell>
          <cell r="J450" t="str">
            <v>Z02</v>
          </cell>
          <cell r="K450">
            <v>34118095.439999998</v>
          </cell>
        </row>
        <row r="451">
          <cell r="F451" t="str">
            <v>PMP1263717</v>
          </cell>
          <cell r="G451" t="str">
            <v>9436395562</v>
          </cell>
          <cell r="H451" t="str">
            <v xml:space="preserve">  1</v>
          </cell>
          <cell r="I451" t="str">
            <v>FACTURA DE VENTA</v>
          </cell>
          <cell r="J451" t="str">
            <v>Z02</v>
          </cell>
          <cell r="K451">
            <v>1311847</v>
          </cell>
        </row>
        <row r="452">
          <cell r="F452" t="str">
            <v>PMP1263583</v>
          </cell>
          <cell r="G452" t="str">
            <v>9436392911</v>
          </cell>
          <cell r="H452" t="str">
            <v xml:space="preserve">  1</v>
          </cell>
          <cell r="I452" t="str">
            <v>FACTURA DE VENTA</v>
          </cell>
          <cell r="J452" t="str">
            <v>Z02</v>
          </cell>
          <cell r="K452">
            <v>744473</v>
          </cell>
        </row>
        <row r="453">
          <cell r="F453" t="str">
            <v>PMP1263715</v>
          </cell>
          <cell r="G453" t="str">
            <v>9436395560</v>
          </cell>
          <cell r="H453" t="str">
            <v xml:space="preserve">  1</v>
          </cell>
          <cell r="I453" t="str">
            <v>FACTURA DE VENTA</v>
          </cell>
          <cell r="J453" t="str">
            <v>Z02</v>
          </cell>
          <cell r="K453">
            <v>260981</v>
          </cell>
        </row>
        <row r="454">
          <cell r="F454" t="str">
            <v>PMP1263584</v>
          </cell>
          <cell r="G454" t="str">
            <v>9436392912</v>
          </cell>
          <cell r="H454" t="str">
            <v xml:space="preserve">  1</v>
          </cell>
          <cell r="I454" t="str">
            <v>FACTURA DE VENTA</v>
          </cell>
          <cell r="J454" t="str">
            <v>Z02</v>
          </cell>
          <cell r="K454">
            <v>83124.5</v>
          </cell>
        </row>
        <row r="455">
          <cell r="F455" t="str">
            <v>PMP1263670</v>
          </cell>
          <cell r="G455" t="str">
            <v>9436395194</v>
          </cell>
          <cell r="H455" t="str">
            <v xml:space="preserve">  1</v>
          </cell>
          <cell r="I455" t="str">
            <v>FACTURA DE VENTA</v>
          </cell>
          <cell r="J455" t="str">
            <v>Z02</v>
          </cell>
          <cell r="K455">
            <v>149567927.96000001</v>
          </cell>
        </row>
        <row r="456">
          <cell r="F456" t="str">
            <v>PMP1263669</v>
          </cell>
          <cell r="G456" t="str">
            <v>9436395193</v>
          </cell>
          <cell r="H456" t="str">
            <v xml:space="preserve">  1</v>
          </cell>
          <cell r="I456" t="str">
            <v>FACTURA DE VENTA</v>
          </cell>
          <cell r="J456" t="str">
            <v>Z02</v>
          </cell>
          <cell r="K456">
            <v>27539347.399999999</v>
          </cell>
        </row>
        <row r="457">
          <cell r="F457" t="str">
            <v>PMP1262848</v>
          </cell>
          <cell r="G457" t="str">
            <v>9436302793</v>
          </cell>
          <cell r="H457" t="str">
            <v xml:space="preserve">  1</v>
          </cell>
          <cell r="I457" t="str">
            <v>FACTURA DE VENTA</v>
          </cell>
          <cell r="J457" t="str">
            <v>Z02</v>
          </cell>
          <cell r="K457">
            <v>2866096</v>
          </cell>
        </row>
        <row r="458">
          <cell r="F458" t="str">
            <v>PMP1262850</v>
          </cell>
          <cell r="G458" t="str">
            <v>9436302795</v>
          </cell>
          <cell r="H458" t="str">
            <v xml:space="preserve">  1</v>
          </cell>
          <cell r="I458" t="str">
            <v>FACTURA DE VENTA</v>
          </cell>
          <cell r="J458" t="str">
            <v>Z02</v>
          </cell>
          <cell r="K458">
            <v>2866096</v>
          </cell>
        </row>
        <row r="459">
          <cell r="F459" t="str">
            <v>PMP1262849</v>
          </cell>
          <cell r="G459" t="str">
            <v>9436302794</v>
          </cell>
          <cell r="H459" t="str">
            <v xml:space="preserve">  1</v>
          </cell>
          <cell r="I459" t="str">
            <v>FACTURA DE VENTA</v>
          </cell>
          <cell r="J459" t="str">
            <v>Z02</v>
          </cell>
          <cell r="K459">
            <v>1984220</v>
          </cell>
        </row>
        <row r="460">
          <cell r="F460" t="str">
            <v>PMP1262851</v>
          </cell>
          <cell r="G460" t="str">
            <v>9436302796</v>
          </cell>
          <cell r="H460" t="str">
            <v xml:space="preserve">  1</v>
          </cell>
          <cell r="I460" t="str">
            <v>FACTURA DE VENTA</v>
          </cell>
          <cell r="J460" t="str">
            <v>Z02</v>
          </cell>
          <cell r="K460">
            <v>1102345</v>
          </cell>
        </row>
        <row r="461">
          <cell r="F461" t="str">
            <v>NCM11232208</v>
          </cell>
          <cell r="G461" t="str">
            <v>9438642321</v>
          </cell>
          <cell r="H461" t="str">
            <v xml:space="preserve">  1</v>
          </cell>
          <cell r="I461" t="str">
            <v>NOTA</v>
          </cell>
          <cell r="J461" t="str">
            <v>659</v>
          </cell>
          <cell r="K461">
            <v>-207025</v>
          </cell>
        </row>
        <row r="462">
          <cell r="F462" t="str">
            <v>NCM11232157</v>
          </cell>
          <cell r="G462" t="str">
            <v>9438642184</v>
          </cell>
          <cell r="H462" t="str">
            <v xml:space="preserve">  1</v>
          </cell>
          <cell r="I462" t="str">
            <v>NOTA</v>
          </cell>
          <cell r="J462" t="str">
            <v>659</v>
          </cell>
          <cell r="K462">
            <v>-195836</v>
          </cell>
        </row>
        <row r="463">
          <cell r="F463" t="str">
            <v>NCM11232195</v>
          </cell>
          <cell r="G463" t="str">
            <v>9438642282</v>
          </cell>
          <cell r="H463" t="str">
            <v xml:space="preserve">  1</v>
          </cell>
          <cell r="I463" t="str">
            <v>NOTA</v>
          </cell>
          <cell r="J463" t="str">
            <v>659</v>
          </cell>
          <cell r="K463">
            <v>-147875</v>
          </cell>
        </row>
        <row r="464">
          <cell r="F464" t="str">
            <v>NCM11232197</v>
          </cell>
          <cell r="G464" t="str">
            <v>9438642284</v>
          </cell>
          <cell r="H464" t="str">
            <v xml:space="preserve">  1</v>
          </cell>
          <cell r="I464" t="str">
            <v>NOTA</v>
          </cell>
          <cell r="J464" t="str">
            <v>659</v>
          </cell>
          <cell r="K464">
            <v>-63720</v>
          </cell>
        </row>
        <row r="465">
          <cell r="F465" t="str">
            <v>NCM11232202</v>
          </cell>
          <cell r="G465" t="str">
            <v>9438642302</v>
          </cell>
          <cell r="H465" t="str">
            <v xml:space="preserve">  1</v>
          </cell>
          <cell r="I465" t="str">
            <v>NOTA</v>
          </cell>
          <cell r="J465" t="str">
            <v>659</v>
          </cell>
          <cell r="K465">
            <v>-59150</v>
          </cell>
        </row>
        <row r="466">
          <cell r="F466" t="str">
            <v>NCM11232193</v>
          </cell>
          <cell r="G466" t="str">
            <v>9438642280</v>
          </cell>
          <cell r="H466" t="str">
            <v xml:space="preserve">  1</v>
          </cell>
          <cell r="I466" t="str">
            <v>NOTA</v>
          </cell>
          <cell r="J466" t="str">
            <v>659</v>
          </cell>
          <cell r="K466">
            <v>-59150</v>
          </cell>
        </row>
        <row r="467">
          <cell r="F467" t="str">
            <v>NCM11232194</v>
          </cell>
          <cell r="G467" t="str">
            <v>9438642281</v>
          </cell>
          <cell r="H467" t="str">
            <v xml:space="preserve">  1</v>
          </cell>
          <cell r="I467" t="str">
            <v>NOTA</v>
          </cell>
          <cell r="J467" t="str">
            <v>659</v>
          </cell>
          <cell r="K467">
            <v>-48959</v>
          </cell>
        </row>
        <row r="468">
          <cell r="F468" t="str">
            <v>NCM11232201</v>
          </cell>
          <cell r="G468" t="str">
            <v>9438642301</v>
          </cell>
          <cell r="H468" t="str">
            <v xml:space="preserve">  1</v>
          </cell>
          <cell r="I468" t="str">
            <v>NOTA</v>
          </cell>
          <cell r="J468" t="str">
            <v>659</v>
          </cell>
          <cell r="K468">
            <v>-32640</v>
          </cell>
        </row>
        <row r="469">
          <cell r="F469" t="str">
            <v>NCM11232155</v>
          </cell>
          <cell r="G469" t="str">
            <v>9438642182</v>
          </cell>
          <cell r="H469" t="str">
            <v xml:space="preserve">  1</v>
          </cell>
          <cell r="I469" t="str">
            <v>NOTA</v>
          </cell>
          <cell r="J469" t="str">
            <v>659</v>
          </cell>
          <cell r="K469">
            <v>-31860</v>
          </cell>
        </row>
        <row r="470">
          <cell r="F470" t="str">
            <v>NCM11232204</v>
          </cell>
          <cell r="G470" t="str">
            <v>9438642305</v>
          </cell>
          <cell r="H470" t="str">
            <v xml:space="preserve">  1</v>
          </cell>
          <cell r="I470" t="str">
            <v>NOTA</v>
          </cell>
          <cell r="J470" t="str">
            <v>659</v>
          </cell>
          <cell r="K470">
            <v>-31860</v>
          </cell>
        </row>
        <row r="471">
          <cell r="F471" t="str">
            <v>NCM11232206</v>
          </cell>
          <cell r="G471" t="str">
            <v>9438642309</v>
          </cell>
          <cell r="H471" t="str">
            <v xml:space="preserve">  1</v>
          </cell>
          <cell r="I471" t="str">
            <v>NOTA</v>
          </cell>
          <cell r="J471" t="str">
            <v>659</v>
          </cell>
          <cell r="K471">
            <v>-29575</v>
          </cell>
        </row>
        <row r="472">
          <cell r="F472" t="str">
            <v>NCM11232207</v>
          </cell>
          <cell r="G472" t="str">
            <v>9438642320</v>
          </cell>
          <cell r="H472" t="str">
            <v xml:space="preserve">  1</v>
          </cell>
          <cell r="I472" t="str">
            <v>NOTA</v>
          </cell>
          <cell r="J472" t="str">
            <v>659</v>
          </cell>
          <cell r="K472">
            <v>-16320</v>
          </cell>
        </row>
        <row r="473">
          <cell r="F473" t="str">
            <v>NCM11232156</v>
          </cell>
          <cell r="G473" t="str">
            <v>9438642183</v>
          </cell>
          <cell r="H473" t="str">
            <v xml:space="preserve">  1</v>
          </cell>
          <cell r="I473" t="str">
            <v>NOTA</v>
          </cell>
          <cell r="J473" t="str">
            <v>659</v>
          </cell>
          <cell r="K473">
            <v>-16320</v>
          </cell>
        </row>
        <row r="474">
          <cell r="F474" t="str">
            <v>NCM11232200</v>
          </cell>
          <cell r="G474" t="str">
            <v>9438642300</v>
          </cell>
          <cell r="H474" t="str">
            <v xml:space="preserve">  1</v>
          </cell>
          <cell r="I474" t="str">
            <v>NOTA</v>
          </cell>
          <cell r="J474" t="str">
            <v>659</v>
          </cell>
          <cell r="K474">
            <v>-16320</v>
          </cell>
        </row>
        <row r="475">
          <cell r="F475" t="str">
            <v>NCM11232198</v>
          </cell>
          <cell r="G475" t="str">
            <v>9438642285</v>
          </cell>
          <cell r="H475" t="str">
            <v xml:space="preserve">  1</v>
          </cell>
          <cell r="I475" t="str">
            <v>NOTA</v>
          </cell>
          <cell r="J475" t="str">
            <v>659</v>
          </cell>
          <cell r="K475">
            <v>-16320</v>
          </cell>
        </row>
        <row r="476">
          <cell r="F476" t="str">
            <v>NCM11232154</v>
          </cell>
          <cell r="G476" t="str">
            <v>9438642181</v>
          </cell>
          <cell r="H476" t="str">
            <v xml:space="preserve">  1</v>
          </cell>
          <cell r="I476" t="str">
            <v>NOTA</v>
          </cell>
          <cell r="J476" t="str">
            <v>659</v>
          </cell>
          <cell r="K476">
            <v>-16320</v>
          </cell>
        </row>
        <row r="477">
          <cell r="F477" t="str">
            <v>NCMI10340429</v>
          </cell>
          <cell r="G477" t="str">
            <v>9438642457</v>
          </cell>
          <cell r="H477" t="str">
            <v xml:space="preserve">  1</v>
          </cell>
          <cell r="I477" t="str">
            <v>NOTA COL</v>
          </cell>
          <cell r="J477" t="str">
            <v>551</v>
          </cell>
          <cell r="K477">
            <v>-16319.65</v>
          </cell>
        </row>
        <row r="478">
          <cell r="F478" t="str">
            <v>NCMI10340427</v>
          </cell>
          <cell r="G478" t="str">
            <v>9438642454</v>
          </cell>
          <cell r="H478" t="str">
            <v xml:space="preserve">  1</v>
          </cell>
          <cell r="I478" t="str">
            <v>NOTA COL</v>
          </cell>
          <cell r="J478" t="str">
            <v>551</v>
          </cell>
          <cell r="K478">
            <v>-16319.65</v>
          </cell>
        </row>
        <row r="479">
          <cell r="F479" t="str">
            <v>NCMI10340426</v>
          </cell>
          <cell r="G479" t="str">
            <v>9438642453</v>
          </cell>
          <cell r="H479" t="str">
            <v xml:space="preserve">  1</v>
          </cell>
          <cell r="I479" t="str">
            <v>NOTA COL</v>
          </cell>
          <cell r="J479" t="str">
            <v>551</v>
          </cell>
          <cell r="K479">
            <v>-16319.65</v>
          </cell>
        </row>
        <row r="480">
          <cell r="F480" t="str">
            <v>NCM11232203</v>
          </cell>
          <cell r="G480" t="str">
            <v>9438642303</v>
          </cell>
          <cell r="H480" t="str">
            <v xml:space="preserve">  1</v>
          </cell>
          <cell r="I480" t="str">
            <v>NOTA</v>
          </cell>
          <cell r="J480" t="str">
            <v>659</v>
          </cell>
          <cell r="K480">
            <v>-14500</v>
          </cell>
        </row>
        <row r="481">
          <cell r="F481" t="str">
            <v>NCM11232199</v>
          </cell>
          <cell r="G481" t="str">
            <v>9438642288</v>
          </cell>
          <cell r="H481" t="str">
            <v xml:space="preserve">  1</v>
          </cell>
          <cell r="I481" t="str">
            <v>NOTA</v>
          </cell>
          <cell r="J481" t="str">
            <v>659</v>
          </cell>
          <cell r="K481">
            <v>-14500</v>
          </cell>
        </row>
        <row r="482">
          <cell r="F482" t="str">
            <v>NCMI10340424</v>
          </cell>
          <cell r="G482" t="str">
            <v>9438642451</v>
          </cell>
          <cell r="H482" t="str">
            <v xml:space="preserve">  1</v>
          </cell>
          <cell r="I482" t="str">
            <v>NOTA COL</v>
          </cell>
          <cell r="J482" t="str">
            <v>551</v>
          </cell>
          <cell r="K482">
            <v>-7083.38</v>
          </cell>
        </row>
        <row r="483">
          <cell r="F483" t="str">
            <v>NCMI10340425</v>
          </cell>
          <cell r="G483" t="str">
            <v>9438642452</v>
          </cell>
          <cell r="H483" t="str">
            <v xml:space="preserve">  1</v>
          </cell>
          <cell r="I483" t="str">
            <v>NOTA COL</v>
          </cell>
          <cell r="J483" t="str">
            <v>551</v>
          </cell>
          <cell r="K483">
            <v>-7083.38</v>
          </cell>
        </row>
        <row r="484">
          <cell r="F484" t="str">
            <v>NCMI10340428</v>
          </cell>
          <cell r="G484" t="str">
            <v>9438642456</v>
          </cell>
          <cell r="H484" t="str">
            <v xml:space="preserve">  1</v>
          </cell>
          <cell r="I484" t="str">
            <v>NOTA COL</v>
          </cell>
          <cell r="J484" t="str">
            <v>551</v>
          </cell>
          <cell r="K484">
            <v>-7083.38</v>
          </cell>
        </row>
        <row r="485">
          <cell r="F485" t="str">
            <v>PMP1263673</v>
          </cell>
          <cell r="G485" t="str">
            <v>9436395197</v>
          </cell>
          <cell r="H485" t="str">
            <v xml:space="preserve">  1</v>
          </cell>
          <cell r="I485" t="str">
            <v>FACTURA DE VENTA</v>
          </cell>
          <cell r="J485" t="str">
            <v>Z02</v>
          </cell>
          <cell r="K485">
            <v>96209872.159999996</v>
          </cell>
        </row>
        <row r="486">
          <cell r="F486" t="str">
            <v>PMP1263672</v>
          </cell>
          <cell r="G486" t="str">
            <v>9436395196</v>
          </cell>
          <cell r="H486" t="str">
            <v xml:space="preserve">  1</v>
          </cell>
          <cell r="I486" t="str">
            <v>FACTURA DE VENTA</v>
          </cell>
          <cell r="J486" t="str">
            <v>Z02</v>
          </cell>
          <cell r="K486">
            <v>13511296.4</v>
          </cell>
        </row>
        <row r="487">
          <cell r="F487" t="str">
            <v>NCMI10340580</v>
          </cell>
          <cell r="G487" t="str">
            <v>9438659131</v>
          </cell>
          <cell r="H487" t="str">
            <v xml:space="preserve">  1</v>
          </cell>
          <cell r="I487" t="str">
            <v>NOTA COL</v>
          </cell>
          <cell r="J487" t="str">
            <v>551</v>
          </cell>
          <cell r="K487">
            <v>-969504.4</v>
          </cell>
        </row>
        <row r="488">
          <cell r="F488" t="str">
            <v>NCMI10340579</v>
          </cell>
          <cell r="G488" t="str">
            <v>9438659130</v>
          </cell>
          <cell r="H488" t="str">
            <v xml:space="preserve">  1</v>
          </cell>
          <cell r="I488" t="str">
            <v>NOTA COL</v>
          </cell>
          <cell r="J488" t="str">
            <v>551</v>
          </cell>
          <cell r="K488">
            <v>-239040</v>
          </cell>
        </row>
        <row r="489">
          <cell r="F489" t="str">
            <v>NCMI10340592</v>
          </cell>
          <cell r="G489" t="str">
            <v>9438659143</v>
          </cell>
          <cell r="H489" t="str">
            <v xml:space="preserve">  1</v>
          </cell>
          <cell r="I489" t="str">
            <v>NOTA COL</v>
          </cell>
          <cell r="J489" t="str">
            <v>551</v>
          </cell>
          <cell r="K489">
            <v>-186149</v>
          </cell>
        </row>
        <row r="490">
          <cell r="F490" t="str">
            <v>NCMI10340581</v>
          </cell>
          <cell r="G490" t="str">
            <v>9438659132</v>
          </cell>
          <cell r="H490" t="str">
            <v xml:space="preserve">  1</v>
          </cell>
          <cell r="I490" t="str">
            <v>NOTA COL</v>
          </cell>
          <cell r="J490" t="str">
            <v>551</v>
          </cell>
          <cell r="K490">
            <v>-128738</v>
          </cell>
        </row>
        <row r="491">
          <cell r="F491" t="str">
            <v>NCM11232821</v>
          </cell>
          <cell r="G491" t="str">
            <v>9438644240</v>
          </cell>
          <cell r="H491" t="str">
            <v xml:space="preserve">  1</v>
          </cell>
          <cell r="I491" t="str">
            <v>NOTA</v>
          </cell>
          <cell r="J491" t="str">
            <v>659</v>
          </cell>
          <cell r="K491">
            <v>-107500</v>
          </cell>
        </row>
        <row r="492">
          <cell r="F492" t="str">
            <v>NCM11232822</v>
          </cell>
          <cell r="G492" t="str">
            <v>9438644241</v>
          </cell>
          <cell r="H492" t="str">
            <v xml:space="preserve">  1</v>
          </cell>
          <cell r="I492" t="str">
            <v>NOTA</v>
          </cell>
          <cell r="J492" t="str">
            <v>659</v>
          </cell>
          <cell r="K492">
            <v>-29134</v>
          </cell>
        </row>
        <row r="493">
          <cell r="F493" t="str">
            <v>NCM11232823</v>
          </cell>
          <cell r="G493" t="str">
            <v>9438644242</v>
          </cell>
          <cell r="H493" t="str">
            <v xml:space="preserve">  1</v>
          </cell>
          <cell r="I493" t="str">
            <v>NOTA</v>
          </cell>
          <cell r="J493" t="str">
            <v>659</v>
          </cell>
          <cell r="K493">
            <v>-15834</v>
          </cell>
        </row>
        <row r="494">
          <cell r="F494" t="str">
            <v>NCM11232824</v>
          </cell>
          <cell r="G494" t="str">
            <v>9438644243</v>
          </cell>
          <cell r="H494" t="str">
            <v xml:space="preserve">  1</v>
          </cell>
          <cell r="I494" t="str">
            <v>NOTA</v>
          </cell>
          <cell r="J494" t="str">
            <v>659</v>
          </cell>
          <cell r="K494">
            <v>-15833</v>
          </cell>
        </row>
        <row r="495">
          <cell r="F495" t="str">
            <v>NCM11232825</v>
          </cell>
          <cell r="G495" t="str">
            <v>9438644244</v>
          </cell>
          <cell r="H495" t="str">
            <v xml:space="preserve">  1</v>
          </cell>
          <cell r="I495" t="str">
            <v>NOTA</v>
          </cell>
          <cell r="J495" t="str">
            <v>659</v>
          </cell>
          <cell r="K495">
            <v>-10001</v>
          </cell>
        </row>
        <row r="496">
          <cell r="F496" t="str">
            <v>NCM11233238</v>
          </cell>
          <cell r="G496" t="str">
            <v>9438682952</v>
          </cell>
          <cell r="H496" t="str">
            <v xml:space="preserve">  1</v>
          </cell>
          <cell r="I496" t="str">
            <v/>
          </cell>
          <cell r="J496" t="str">
            <v/>
          </cell>
          <cell r="K496">
            <v>-181903906</v>
          </cell>
        </row>
        <row r="497">
          <cell r="F497" t="str">
            <v>NCM11233248</v>
          </cell>
          <cell r="G497" t="str">
            <v>9438682973</v>
          </cell>
          <cell r="H497" t="str">
            <v xml:space="preserve">  1</v>
          </cell>
          <cell r="I497" t="str">
            <v/>
          </cell>
          <cell r="J497" t="str">
            <v/>
          </cell>
          <cell r="K497">
            <v>-113812308</v>
          </cell>
        </row>
        <row r="498">
          <cell r="F498" t="str">
            <v>PMP1266413</v>
          </cell>
          <cell r="G498" t="str">
            <v>9436674661</v>
          </cell>
          <cell r="H498" t="str">
            <v xml:space="preserve">  1</v>
          </cell>
          <cell r="I498" t="str">
            <v>FACTURA DE VENTA</v>
          </cell>
          <cell r="J498" t="str">
            <v>Z02</v>
          </cell>
          <cell r="K498">
            <v>96515607.980000004</v>
          </cell>
        </row>
        <row r="499">
          <cell r="F499" t="str">
            <v>PMP1266403</v>
          </cell>
          <cell r="G499" t="str">
            <v>9436673511</v>
          </cell>
          <cell r="H499" t="str">
            <v xml:space="preserve">  1</v>
          </cell>
          <cell r="I499" t="str">
            <v>FACTURA DE VENTA</v>
          </cell>
          <cell r="J499" t="str">
            <v>Z02</v>
          </cell>
          <cell r="K499">
            <v>30392282.52</v>
          </cell>
        </row>
        <row r="500">
          <cell r="F500" t="str">
            <v>PMP1266405</v>
          </cell>
          <cell r="G500" t="str">
            <v>9436673513</v>
          </cell>
          <cell r="H500" t="str">
            <v xml:space="preserve">  1</v>
          </cell>
          <cell r="I500" t="str">
            <v>FACTURA DE VENTA</v>
          </cell>
          <cell r="J500" t="str">
            <v>Z02</v>
          </cell>
          <cell r="K500">
            <v>24252336.899999999</v>
          </cell>
        </row>
        <row r="501">
          <cell r="F501" t="str">
            <v>PMP1266408</v>
          </cell>
          <cell r="G501" t="str">
            <v>9436673516</v>
          </cell>
          <cell r="H501" t="str">
            <v xml:space="preserve">  1</v>
          </cell>
          <cell r="I501" t="str">
            <v>FACTURA DE VENTA</v>
          </cell>
          <cell r="J501" t="str">
            <v>Z02</v>
          </cell>
          <cell r="K501">
            <v>20210319.52</v>
          </cell>
        </row>
        <row r="502">
          <cell r="F502" t="str">
            <v>NCM11233232</v>
          </cell>
          <cell r="G502" t="str">
            <v>9438682945</v>
          </cell>
          <cell r="H502" t="str">
            <v xml:space="preserve">  1</v>
          </cell>
          <cell r="I502" t="str">
            <v/>
          </cell>
          <cell r="J502" t="str">
            <v/>
          </cell>
          <cell r="K502">
            <v>-19587531</v>
          </cell>
        </row>
        <row r="503">
          <cell r="F503" t="str">
            <v>PMP1266411</v>
          </cell>
          <cell r="G503" t="str">
            <v>9436673519</v>
          </cell>
          <cell r="H503" t="str">
            <v xml:space="preserve">  1</v>
          </cell>
          <cell r="I503" t="str">
            <v>FACTURA DE VENTA</v>
          </cell>
          <cell r="J503" t="str">
            <v>Z02</v>
          </cell>
          <cell r="K503">
            <v>18391579.469999999</v>
          </cell>
        </row>
        <row r="504">
          <cell r="F504" t="str">
            <v>PMP1266409</v>
          </cell>
          <cell r="G504" t="str">
            <v>9436673517</v>
          </cell>
          <cell r="H504" t="str">
            <v xml:space="preserve">  1</v>
          </cell>
          <cell r="I504" t="str">
            <v>FACTURA DE VENTA</v>
          </cell>
          <cell r="J504" t="str">
            <v>Z02</v>
          </cell>
          <cell r="K504">
            <v>15798244.08</v>
          </cell>
        </row>
        <row r="505">
          <cell r="F505" t="str">
            <v>PMP1266412</v>
          </cell>
          <cell r="G505" t="str">
            <v>9436674660</v>
          </cell>
          <cell r="H505" t="str">
            <v xml:space="preserve">  1</v>
          </cell>
          <cell r="I505" t="str">
            <v>FACTURA DE VENTA</v>
          </cell>
          <cell r="J505" t="str">
            <v>Z02</v>
          </cell>
          <cell r="K505">
            <v>13318436.189999999</v>
          </cell>
        </row>
        <row r="506">
          <cell r="F506" t="str">
            <v>PMP1266410</v>
          </cell>
          <cell r="G506" t="str">
            <v>9436673518</v>
          </cell>
          <cell r="H506" t="str">
            <v xml:space="preserve">  1</v>
          </cell>
          <cell r="I506" t="str">
            <v>FACTURA DE VENTA</v>
          </cell>
          <cell r="J506" t="str">
            <v>Z02</v>
          </cell>
          <cell r="K506">
            <v>12646196</v>
          </cell>
        </row>
        <row r="507">
          <cell r="F507" t="str">
            <v>PMP1266406</v>
          </cell>
          <cell r="G507" t="str">
            <v>9436673514</v>
          </cell>
          <cell r="H507" t="str">
            <v xml:space="preserve">  1</v>
          </cell>
          <cell r="I507" t="str">
            <v>FACTURA DE VENTA</v>
          </cell>
          <cell r="J507" t="str">
            <v>Z02</v>
          </cell>
          <cell r="K507">
            <v>2942394</v>
          </cell>
        </row>
        <row r="508">
          <cell r="F508" t="str">
            <v>PMP1266407</v>
          </cell>
          <cell r="G508" t="str">
            <v>9436673515</v>
          </cell>
          <cell r="H508" t="str">
            <v xml:space="preserve">  1</v>
          </cell>
          <cell r="I508" t="str">
            <v>FACTURA DE VENTA</v>
          </cell>
          <cell r="J508" t="str">
            <v>Z02</v>
          </cell>
          <cell r="K508">
            <v>1652881</v>
          </cell>
        </row>
        <row r="509">
          <cell r="F509" t="str">
            <v>PMP1266404</v>
          </cell>
          <cell r="G509" t="str">
            <v>9436673512</v>
          </cell>
          <cell r="H509" t="str">
            <v xml:space="preserve">  1</v>
          </cell>
          <cell r="I509" t="str">
            <v>FACTURA DE VENTA</v>
          </cell>
          <cell r="J509" t="str">
            <v>Z02</v>
          </cell>
          <cell r="K509">
            <v>1471197</v>
          </cell>
        </row>
        <row r="510">
          <cell r="F510" t="str">
            <v>PMP1266442</v>
          </cell>
          <cell r="G510" t="str">
            <v>9436689405</v>
          </cell>
          <cell r="H510" t="str">
            <v xml:space="preserve">  1</v>
          </cell>
          <cell r="I510" t="str">
            <v>FACTURA DE VENTA</v>
          </cell>
          <cell r="J510" t="str">
            <v>Z02</v>
          </cell>
          <cell r="K510">
            <v>130658390.88</v>
          </cell>
        </row>
        <row r="511">
          <cell r="F511" t="str">
            <v>PMP1266437</v>
          </cell>
          <cell r="G511" t="str">
            <v>9436689269</v>
          </cell>
          <cell r="H511" t="str">
            <v xml:space="preserve">  1</v>
          </cell>
          <cell r="I511" t="str">
            <v>FACTURA DE VENTA</v>
          </cell>
          <cell r="J511" t="str">
            <v>Z02</v>
          </cell>
          <cell r="K511">
            <v>79569338.120000005</v>
          </cell>
        </row>
        <row r="512">
          <cell r="F512" t="str">
            <v>PMP1266446</v>
          </cell>
          <cell r="G512" t="str">
            <v>9436689430</v>
          </cell>
          <cell r="H512" t="str">
            <v xml:space="preserve">  1</v>
          </cell>
          <cell r="I512" t="str">
            <v>FACTURA DE VENTA</v>
          </cell>
          <cell r="J512" t="str">
            <v>Z02</v>
          </cell>
          <cell r="K512">
            <v>65527166.390000001</v>
          </cell>
        </row>
        <row r="513">
          <cell r="F513" t="str">
            <v>PMP1267021</v>
          </cell>
          <cell r="G513" t="str">
            <v>9436753425</v>
          </cell>
          <cell r="H513" t="str">
            <v xml:space="preserve">  1</v>
          </cell>
          <cell r="I513" t="str">
            <v>FACTURA DE VENTA</v>
          </cell>
          <cell r="J513" t="str">
            <v>Z02</v>
          </cell>
          <cell r="K513">
            <v>62987124</v>
          </cell>
        </row>
        <row r="514">
          <cell r="F514" t="str">
            <v>PMP1266448</v>
          </cell>
          <cell r="G514" t="str">
            <v>9436689433</v>
          </cell>
          <cell r="H514" t="str">
            <v xml:space="preserve">  1</v>
          </cell>
          <cell r="I514" t="str">
            <v>FACTURA DE VENTA</v>
          </cell>
          <cell r="J514" t="str">
            <v>Z02</v>
          </cell>
          <cell r="K514">
            <v>35544295.840000004</v>
          </cell>
        </row>
        <row r="515">
          <cell r="F515" t="str">
            <v>NCM11233300</v>
          </cell>
          <cell r="G515" t="str">
            <v>9438715131</v>
          </cell>
          <cell r="H515" t="str">
            <v xml:space="preserve">  1</v>
          </cell>
          <cell r="I515" t="str">
            <v/>
          </cell>
          <cell r="J515" t="str">
            <v/>
          </cell>
          <cell r="K515">
            <v>-24791621</v>
          </cell>
        </row>
        <row r="516">
          <cell r="F516" t="str">
            <v>PMP1267022</v>
          </cell>
          <cell r="G516" t="str">
            <v>9436753426</v>
          </cell>
          <cell r="H516" t="str">
            <v xml:space="preserve">  1</v>
          </cell>
          <cell r="I516" t="str">
            <v>FACTURA DE VENTA</v>
          </cell>
          <cell r="J516" t="str">
            <v>Z02</v>
          </cell>
          <cell r="K516">
            <v>18346258</v>
          </cell>
        </row>
        <row r="517">
          <cell r="F517" t="str">
            <v>NCM11233305</v>
          </cell>
          <cell r="G517" t="str">
            <v>9438715136</v>
          </cell>
          <cell r="H517" t="str">
            <v xml:space="preserve">  1</v>
          </cell>
          <cell r="I517" t="str">
            <v/>
          </cell>
          <cell r="J517" t="str">
            <v/>
          </cell>
          <cell r="K517">
            <v>-14355611</v>
          </cell>
        </row>
        <row r="518">
          <cell r="F518" t="str">
            <v>PMP1266443</v>
          </cell>
          <cell r="G518" t="str">
            <v>9436689406</v>
          </cell>
          <cell r="H518" t="str">
            <v xml:space="preserve">  1</v>
          </cell>
          <cell r="I518" t="str">
            <v>FACTURA DE VENTA</v>
          </cell>
          <cell r="J518" t="str">
            <v>Z02</v>
          </cell>
          <cell r="K518">
            <v>14137043.199999999</v>
          </cell>
        </row>
        <row r="519">
          <cell r="F519" t="str">
            <v>PMP1266439</v>
          </cell>
          <cell r="G519" t="str">
            <v>9436689401</v>
          </cell>
          <cell r="H519" t="str">
            <v xml:space="preserve">  1</v>
          </cell>
          <cell r="I519" t="str">
            <v>FACTURA DE VENTA</v>
          </cell>
          <cell r="J519" t="str">
            <v>Z02</v>
          </cell>
          <cell r="K519">
            <v>13281013.76</v>
          </cell>
        </row>
        <row r="520">
          <cell r="F520" t="str">
            <v>PMP1266447</v>
          </cell>
          <cell r="G520" t="str">
            <v>9436689431</v>
          </cell>
          <cell r="H520" t="str">
            <v xml:space="preserve">  1</v>
          </cell>
          <cell r="I520" t="str">
            <v>FACTURA DE VENTA</v>
          </cell>
          <cell r="J520" t="str">
            <v>Z02</v>
          </cell>
          <cell r="K520">
            <v>9028787</v>
          </cell>
        </row>
        <row r="521">
          <cell r="F521" t="str">
            <v>PMP1266434</v>
          </cell>
          <cell r="G521" t="str">
            <v>9436689266</v>
          </cell>
          <cell r="H521" t="str">
            <v xml:space="preserve">  1</v>
          </cell>
          <cell r="I521" t="str">
            <v>FACTURA DE VENTA</v>
          </cell>
          <cell r="J521" t="str">
            <v>Z02</v>
          </cell>
          <cell r="K521">
            <v>5219626</v>
          </cell>
        </row>
        <row r="522">
          <cell r="F522" t="str">
            <v>PMP1267019</v>
          </cell>
          <cell r="G522" t="str">
            <v>9436753423</v>
          </cell>
          <cell r="H522" t="str">
            <v xml:space="preserve">  1</v>
          </cell>
          <cell r="I522" t="str">
            <v>FACTURA DE VENTA</v>
          </cell>
          <cell r="J522" t="str">
            <v>Z02</v>
          </cell>
          <cell r="K522">
            <v>2599515</v>
          </cell>
        </row>
        <row r="523">
          <cell r="F523" t="str">
            <v>PMP1266440</v>
          </cell>
          <cell r="G523" t="str">
            <v>9436689402</v>
          </cell>
          <cell r="H523" t="str">
            <v xml:space="preserve">  1</v>
          </cell>
          <cell r="I523" t="str">
            <v>FACTURA DE VENTA</v>
          </cell>
          <cell r="J523" t="str">
            <v>Z02</v>
          </cell>
          <cell r="K523">
            <v>2110396.92</v>
          </cell>
        </row>
        <row r="524">
          <cell r="F524" t="str">
            <v>PMP1266445</v>
          </cell>
          <cell r="G524" t="str">
            <v>9436689408</v>
          </cell>
          <cell r="H524" t="str">
            <v xml:space="preserve">  1</v>
          </cell>
          <cell r="I524" t="str">
            <v>FACTURA DE VENTA</v>
          </cell>
          <cell r="J524" t="str">
            <v>Z02</v>
          </cell>
          <cell r="K524">
            <v>2020601.12</v>
          </cell>
        </row>
        <row r="525">
          <cell r="F525" t="str">
            <v>PMP1266438</v>
          </cell>
          <cell r="G525" t="str">
            <v>9436689400</v>
          </cell>
          <cell r="H525" t="str">
            <v xml:space="preserve">  1</v>
          </cell>
          <cell r="I525" t="str">
            <v>FACTURA DE VENTA</v>
          </cell>
          <cell r="J525" t="str">
            <v>Z02</v>
          </cell>
          <cell r="K525">
            <v>1810704</v>
          </cell>
        </row>
        <row r="526">
          <cell r="F526" t="str">
            <v>PMP1266435</v>
          </cell>
          <cell r="G526" t="str">
            <v>9436689267</v>
          </cell>
          <cell r="H526" t="str">
            <v xml:space="preserve">  1</v>
          </cell>
          <cell r="I526" t="str">
            <v>FACTURA DE VENTA</v>
          </cell>
          <cell r="J526" t="str">
            <v>Z02</v>
          </cell>
          <cell r="K526">
            <v>888935.12</v>
          </cell>
        </row>
        <row r="527">
          <cell r="F527" t="str">
            <v>PMP1267018</v>
          </cell>
          <cell r="G527" t="str">
            <v>9436753422</v>
          </cell>
          <cell r="H527" t="str">
            <v xml:space="preserve">  1</v>
          </cell>
          <cell r="I527" t="str">
            <v>FACTURA DE VENTA</v>
          </cell>
          <cell r="J527" t="str">
            <v>Z02</v>
          </cell>
          <cell r="K527">
            <v>661407</v>
          </cell>
        </row>
        <row r="528">
          <cell r="F528" t="str">
            <v>PMP1266436</v>
          </cell>
          <cell r="G528" t="str">
            <v>9436689268</v>
          </cell>
          <cell r="H528" t="str">
            <v xml:space="preserve">  1</v>
          </cell>
          <cell r="I528" t="str">
            <v>FACTURA DE VENTA</v>
          </cell>
          <cell r="J528" t="str">
            <v>Z02</v>
          </cell>
          <cell r="K528">
            <v>307926.52</v>
          </cell>
        </row>
        <row r="529">
          <cell r="F529" t="str">
            <v>PMP1266444</v>
          </cell>
          <cell r="G529" t="str">
            <v>9436689407</v>
          </cell>
          <cell r="H529" t="str">
            <v xml:space="preserve">  1</v>
          </cell>
          <cell r="I529" t="str">
            <v>FACTURA DE VENTA</v>
          </cell>
          <cell r="J529" t="str">
            <v>Z02</v>
          </cell>
          <cell r="K529">
            <v>226338</v>
          </cell>
        </row>
        <row r="530">
          <cell r="F530" t="str">
            <v>PMP1267023</v>
          </cell>
          <cell r="G530" t="str">
            <v>9436753427</v>
          </cell>
          <cell r="H530" t="str">
            <v xml:space="preserve">  1</v>
          </cell>
          <cell r="I530" t="str">
            <v>FACTURA DE VENTA</v>
          </cell>
          <cell r="J530" t="str">
            <v>Z02</v>
          </cell>
          <cell r="K530">
            <v>220469</v>
          </cell>
        </row>
        <row r="531">
          <cell r="F531" t="str">
            <v>PMP1266441</v>
          </cell>
          <cell r="G531" t="str">
            <v>9436689403</v>
          </cell>
          <cell r="H531" t="str">
            <v xml:space="preserve">  1</v>
          </cell>
          <cell r="I531" t="str">
            <v>FACTURA DE VENTA</v>
          </cell>
          <cell r="J531" t="str">
            <v>Z02</v>
          </cell>
          <cell r="K531">
            <v>113169</v>
          </cell>
        </row>
        <row r="532">
          <cell r="F532" t="str">
            <v>NCMI10340822</v>
          </cell>
          <cell r="G532" t="str">
            <v>9438711414</v>
          </cell>
          <cell r="H532" t="str">
            <v xml:space="preserve">  1</v>
          </cell>
          <cell r="I532" t="str">
            <v/>
          </cell>
          <cell r="J532" t="str">
            <v/>
          </cell>
          <cell r="K532">
            <v>-95580.96</v>
          </cell>
        </row>
        <row r="533">
          <cell r="F533" t="str">
            <v>NCMI10340818</v>
          </cell>
          <cell r="G533" t="str">
            <v>9438711379</v>
          </cell>
          <cell r="H533" t="str">
            <v xml:space="preserve">  1</v>
          </cell>
          <cell r="I533" t="str">
            <v/>
          </cell>
          <cell r="J533" t="str">
            <v/>
          </cell>
          <cell r="K533">
            <v>-49999.8</v>
          </cell>
        </row>
        <row r="534">
          <cell r="F534" t="str">
            <v>NCMI10340821</v>
          </cell>
          <cell r="G534" t="str">
            <v>9438711413</v>
          </cell>
          <cell r="H534" t="str">
            <v xml:space="preserve">  1</v>
          </cell>
          <cell r="I534" t="str">
            <v/>
          </cell>
          <cell r="J534" t="str">
            <v/>
          </cell>
          <cell r="K534">
            <v>-31860.32</v>
          </cell>
        </row>
        <row r="535">
          <cell r="F535" t="str">
            <v>NCMI10340819</v>
          </cell>
          <cell r="G535" t="str">
            <v>9438711411</v>
          </cell>
          <cell r="H535" t="str">
            <v xml:space="preserve">  1</v>
          </cell>
          <cell r="I535" t="str">
            <v/>
          </cell>
          <cell r="J535" t="str">
            <v/>
          </cell>
          <cell r="K535">
            <v>-29575</v>
          </cell>
        </row>
        <row r="536">
          <cell r="F536" t="str">
            <v>NCMI10340817</v>
          </cell>
          <cell r="G536" t="str">
            <v>9438711378</v>
          </cell>
          <cell r="H536" t="str">
            <v xml:space="preserve">  1</v>
          </cell>
          <cell r="I536" t="str">
            <v/>
          </cell>
          <cell r="J536" t="str">
            <v/>
          </cell>
          <cell r="K536">
            <v>-28333.52</v>
          </cell>
        </row>
        <row r="537">
          <cell r="F537" t="str">
            <v>NCMI10340820</v>
          </cell>
          <cell r="G537" t="str">
            <v>9438711412</v>
          </cell>
          <cell r="H537" t="str">
            <v xml:space="preserve">  1</v>
          </cell>
          <cell r="I537" t="str">
            <v/>
          </cell>
          <cell r="J537" t="str">
            <v/>
          </cell>
          <cell r="K537">
            <v>-16319.65</v>
          </cell>
        </row>
        <row r="538">
          <cell r="F538" t="str">
            <v>NCMI10340823</v>
          </cell>
          <cell r="G538" t="str">
            <v>9438711415</v>
          </cell>
          <cell r="H538" t="str">
            <v xml:space="preserve">  1</v>
          </cell>
          <cell r="I538" t="str">
            <v/>
          </cell>
          <cell r="J538" t="str">
            <v/>
          </cell>
          <cell r="K538">
            <v>-16319.65</v>
          </cell>
        </row>
        <row r="539">
          <cell r="F539" t="str">
            <v>NCMI10340816</v>
          </cell>
          <cell r="G539" t="str">
            <v>9438711376</v>
          </cell>
          <cell r="H539" t="str">
            <v xml:space="preserve">  1</v>
          </cell>
          <cell r="I539" t="str">
            <v/>
          </cell>
          <cell r="J539" t="str">
            <v/>
          </cell>
          <cell r="K539">
            <v>-7083.38</v>
          </cell>
        </row>
        <row r="540">
          <cell r="F540" t="str">
            <v>PMP1267066</v>
          </cell>
          <cell r="G540" t="str">
            <v>9436776801</v>
          </cell>
          <cell r="H540" t="str">
            <v xml:space="preserve">  1</v>
          </cell>
          <cell r="I540" t="str">
            <v>FACTURA DE VENTA</v>
          </cell>
          <cell r="J540" t="str">
            <v>Z02</v>
          </cell>
          <cell r="K540">
            <v>36393214</v>
          </cell>
        </row>
        <row r="541">
          <cell r="F541" t="str">
            <v>PMP1267067</v>
          </cell>
          <cell r="G541" t="str">
            <v>9436776802</v>
          </cell>
          <cell r="H541" t="str">
            <v xml:space="preserve">  1</v>
          </cell>
          <cell r="I541" t="str">
            <v>FACTURA DE VENTA</v>
          </cell>
          <cell r="J541" t="str">
            <v>Z02</v>
          </cell>
          <cell r="K541">
            <v>13978207</v>
          </cell>
        </row>
        <row r="542">
          <cell r="F542" t="str">
            <v>PMP1267068</v>
          </cell>
          <cell r="G542" t="str">
            <v>9436776803</v>
          </cell>
          <cell r="H542" t="str">
            <v xml:space="preserve">  1</v>
          </cell>
          <cell r="I542" t="str">
            <v>FACTURA DE VENTA</v>
          </cell>
          <cell r="J542" t="str">
            <v>Z02</v>
          </cell>
          <cell r="K542">
            <v>10918828</v>
          </cell>
        </row>
        <row r="543">
          <cell r="F543" t="str">
            <v>PMP1267064</v>
          </cell>
          <cell r="G543" t="str">
            <v>9436773389</v>
          </cell>
          <cell r="H543" t="str">
            <v xml:space="preserve">  1</v>
          </cell>
          <cell r="I543" t="str">
            <v>FACTURA DE VENTA</v>
          </cell>
          <cell r="J543" t="str">
            <v>Z02</v>
          </cell>
          <cell r="K543">
            <v>7802451</v>
          </cell>
        </row>
        <row r="544">
          <cell r="F544" t="str">
            <v>NCMI10341073</v>
          </cell>
          <cell r="G544" t="str">
            <v>9438771939</v>
          </cell>
          <cell r="H544" t="str">
            <v xml:space="preserve">  1</v>
          </cell>
          <cell r="I544" t="str">
            <v/>
          </cell>
          <cell r="J544" t="str">
            <v/>
          </cell>
          <cell r="K544">
            <v>-883919.2</v>
          </cell>
        </row>
        <row r="545">
          <cell r="F545" t="str">
            <v>PMP1266524</v>
          </cell>
          <cell r="G545" t="str">
            <v>9436698062</v>
          </cell>
          <cell r="H545" t="str">
            <v xml:space="preserve">  1</v>
          </cell>
          <cell r="I545" t="str">
            <v>FACTURA DE VENTA</v>
          </cell>
          <cell r="J545" t="str">
            <v>Z02</v>
          </cell>
          <cell r="K545">
            <v>158796837.12</v>
          </cell>
        </row>
        <row r="546">
          <cell r="F546" t="str">
            <v>PMP1266517</v>
          </cell>
          <cell r="G546" t="str">
            <v>9436697935</v>
          </cell>
          <cell r="H546" t="str">
            <v xml:space="preserve">  1</v>
          </cell>
          <cell r="I546" t="str">
            <v>FACTURA DE VENTA</v>
          </cell>
          <cell r="J546" t="str">
            <v>Z02</v>
          </cell>
          <cell r="K546">
            <v>81057613</v>
          </cell>
        </row>
        <row r="547">
          <cell r="F547" t="str">
            <v>PMP1266519</v>
          </cell>
          <cell r="G547" t="str">
            <v>9436697937</v>
          </cell>
          <cell r="H547" t="str">
            <v xml:space="preserve">  1</v>
          </cell>
          <cell r="I547" t="str">
            <v>FACTURA DE VENTA</v>
          </cell>
          <cell r="J547" t="str">
            <v>Z02</v>
          </cell>
          <cell r="K547">
            <v>71132191</v>
          </cell>
        </row>
        <row r="548">
          <cell r="F548" t="str">
            <v>PMP1266523</v>
          </cell>
          <cell r="G548" t="str">
            <v>9436698061</v>
          </cell>
          <cell r="H548" t="str">
            <v xml:space="preserve">  1</v>
          </cell>
          <cell r="I548" t="str">
            <v>FACTURA DE VENTA</v>
          </cell>
          <cell r="J548" t="str">
            <v>Z02</v>
          </cell>
          <cell r="K548">
            <v>65287457.600000001</v>
          </cell>
        </row>
        <row r="549">
          <cell r="F549" t="str">
            <v>PMP1266992</v>
          </cell>
          <cell r="G549" t="str">
            <v>9436747674</v>
          </cell>
          <cell r="H549" t="str">
            <v xml:space="preserve">  1</v>
          </cell>
          <cell r="I549" t="str">
            <v>FACTURA DE VENTA</v>
          </cell>
          <cell r="J549" t="str">
            <v>Z02</v>
          </cell>
          <cell r="K549">
            <v>54353501</v>
          </cell>
        </row>
        <row r="550">
          <cell r="F550" t="str">
            <v>PMP1266991</v>
          </cell>
          <cell r="G550" t="str">
            <v>9436747673</v>
          </cell>
          <cell r="H550" t="str">
            <v xml:space="preserve">  1</v>
          </cell>
          <cell r="I550" t="str">
            <v>FACTURA DE VENTA</v>
          </cell>
          <cell r="J550" t="str">
            <v>Z02</v>
          </cell>
          <cell r="K550">
            <v>47972873</v>
          </cell>
        </row>
        <row r="551">
          <cell r="F551" t="str">
            <v>PMP1267240</v>
          </cell>
          <cell r="G551" t="str">
            <v>9436836587</v>
          </cell>
          <cell r="H551" t="str">
            <v xml:space="preserve">  1</v>
          </cell>
          <cell r="I551" t="str">
            <v>FACTURA DE VENTA</v>
          </cell>
          <cell r="J551" t="str">
            <v>Z02</v>
          </cell>
          <cell r="K551">
            <v>47305349.159999996</v>
          </cell>
        </row>
        <row r="552">
          <cell r="F552" t="str">
            <v>PMP1266526</v>
          </cell>
          <cell r="G552" t="str">
            <v>9436698064</v>
          </cell>
          <cell r="H552" t="str">
            <v xml:space="preserve">  1</v>
          </cell>
          <cell r="I552" t="str">
            <v>FACTURA DE VENTA</v>
          </cell>
          <cell r="J552" t="str">
            <v>Z02</v>
          </cell>
          <cell r="K552">
            <v>33486175.68</v>
          </cell>
        </row>
        <row r="553">
          <cell r="F553" t="str">
            <v>PMP1267065</v>
          </cell>
          <cell r="G553" t="str">
            <v>9436776800</v>
          </cell>
          <cell r="H553" t="str">
            <v xml:space="preserve">  1</v>
          </cell>
          <cell r="I553" t="str">
            <v>FACTURA DE VENTA</v>
          </cell>
          <cell r="J553" t="str">
            <v>Z02</v>
          </cell>
          <cell r="K553">
            <v>32139462</v>
          </cell>
        </row>
        <row r="554">
          <cell r="F554" t="str">
            <v>PMP1267239</v>
          </cell>
          <cell r="G554" t="str">
            <v>9436836581</v>
          </cell>
          <cell r="H554" t="str">
            <v xml:space="preserve">  1</v>
          </cell>
          <cell r="I554" t="str">
            <v>FACTURA DE VENTA</v>
          </cell>
          <cell r="J554" t="str">
            <v>Z02</v>
          </cell>
          <cell r="K554">
            <v>24772082.739999998</v>
          </cell>
        </row>
        <row r="555">
          <cell r="F555" t="str">
            <v>PMP1266527</v>
          </cell>
          <cell r="G555" t="str">
            <v>9436698065</v>
          </cell>
          <cell r="H555" t="str">
            <v xml:space="preserve">  1</v>
          </cell>
          <cell r="I555" t="str">
            <v>FACTURA DE VENTA</v>
          </cell>
          <cell r="J555" t="str">
            <v>Z02</v>
          </cell>
          <cell r="K555">
            <v>23709684.82</v>
          </cell>
        </row>
        <row r="556">
          <cell r="F556" t="str">
            <v>PMP1267241</v>
          </cell>
          <cell r="G556" t="str">
            <v>9436836588</v>
          </cell>
          <cell r="H556" t="str">
            <v xml:space="preserve">  1</v>
          </cell>
          <cell r="I556" t="str">
            <v>FACTURA DE VENTA</v>
          </cell>
          <cell r="J556" t="str">
            <v>Z02</v>
          </cell>
          <cell r="K556">
            <v>18259552.84</v>
          </cell>
        </row>
        <row r="557">
          <cell r="F557" t="str">
            <v>PMP1267243</v>
          </cell>
          <cell r="G557" t="str">
            <v>9436836650</v>
          </cell>
          <cell r="H557" t="str">
            <v xml:space="preserve">  1</v>
          </cell>
          <cell r="I557" t="str">
            <v>FACTURA DE VENTA</v>
          </cell>
          <cell r="J557" t="str">
            <v>Z02</v>
          </cell>
          <cell r="K557">
            <v>18134889.5</v>
          </cell>
        </row>
        <row r="558">
          <cell r="F558" t="str">
            <v>PMP1266520</v>
          </cell>
          <cell r="G558" t="str">
            <v>9436697938</v>
          </cell>
          <cell r="H558" t="str">
            <v xml:space="preserve">  1</v>
          </cell>
          <cell r="I558" t="str">
            <v>FACTURA DE VENTA</v>
          </cell>
          <cell r="J558" t="str">
            <v>Z02</v>
          </cell>
          <cell r="K558">
            <v>14092364</v>
          </cell>
        </row>
        <row r="559">
          <cell r="F559" t="str">
            <v>PMP1266522</v>
          </cell>
          <cell r="G559" t="str">
            <v>9436698060</v>
          </cell>
          <cell r="H559" t="str">
            <v xml:space="preserve">  1</v>
          </cell>
          <cell r="I559" t="str">
            <v>FACTURA DE VENTA</v>
          </cell>
          <cell r="J559" t="str">
            <v>Z02</v>
          </cell>
          <cell r="K559">
            <v>11096370</v>
          </cell>
        </row>
        <row r="560">
          <cell r="F560" t="str">
            <v>PMP1266989</v>
          </cell>
          <cell r="G560" t="str">
            <v>9436747671</v>
          </cell>
          <cell r="H560" t="str">
            <v xml:space="preserve">  1</v>
          </cell>
          <cell r="I560" t="str">
            <v>FACTURA DE VENTA</v>
          </cell>
          <cell r="J560" t="str">
            <v>Z02</v>
          </cell>
          <cell r="K560">
            <v>10648056</v>
          </cell>
        </row>
        <row r="561">
          <cell r="F561" t="str">
            <v>PMP1266525</v>
          </cell>
          <cell r="G561" t="str">
            <v>9436698063</v>
          </cell>
          <cell r="H561" t="str">
            <v xml:space="preserve">  1</v>
          </cell>
          <cell r="I561" t="str">
            <v>FACTURA DE VENTA</v>
          </cell>
          <cell r="J561" t="str">
            <v>Z02</v>
          </cell>
          <cell r="K561">
            <v>8148168</v>
          </cell>
        </row>
        <row r="562">
          <cell r="F562" t="str">
            <v>PMP1266993</v>
          </cell>
          <cell r="G562" t="str">
            <v>9436747675</v>
          </cell>
          <cell r="H562" t="str">
            <v xml:space="preserve">  1</v>
          </cell>
          <cell r="I562" t="str">
            <v>FACTURA DE VENTA</v>
          </cell>
          <cell r="J562" t="str">
            <v>Z02</v>
          </cell>
          <cell r="K562">
            <v>7545532</v>
          </cell>
        </row>
        <row r="563">
          <cell r="F563" t="str">
            <v>PMP1267242</v>
          </cell>
          <cell r="G563" t="str">
            <v>9436836589</v>
          </cell>
          <cell r="H563" t="str">
            <v xml:space="preserve">  1</v>
          </cell>
          <cell r="I563" t="str">
            <v>FACTURA DE VENTA</v>
          </cell>
          <cell r="J563" t="str">
            <v>Z02</v>
          </cell>
          <cell r="K563">
            <v>2037042</v>
          </cell>
        </row>
        <row r="564">
          <cell r="F564" t="str">
            <v>PMP1266990</v>
          </cell>
          <cell r="G564" t="str">
            <v>9436747672</v>
          </cell>
          <cell r="H564" t="str">
            <v xml:space="preserve">  1</v>
          </cell>
          <cell r="I564" t="str">
            <v>FACTURA DE VENTA</v>
          </cell>
          <cell r="J564" t="str">
            <v>Z02</v>
          </cell>
          <cell r="K564">
            <v>1763751</v>
          </cell>
        </row>
        <row r="565">
          <cell r="F565" t="str">
            <v>PMP1266518</v>
          </cell>
          <cell r="G565" t="str">
            <v>9436697936</v>
          </cell>
          <cell r="H565" t="str">
            <v xml:space="preserve">  1</v>
          </cell>
          <cell r="I565" t="str">
            <v>FACTURA DE VENTA</v>
          </cell>
          <cell r="J565" t="str">
            <v>Z02</v>
          </cell>
          <cell r="K565">
            <v>1102345</v>
          </cell>
        </row>
        <row r="566">
          <cell r="F566" t="str">
            <v>PMP1266521</v>
          </cell>
          <cell r="G566" t="str">
            <v>9436697939</v>
          </cell>
          <cell r="H566" t="str">
            <v xml:space="preserve">  1</v>
          </cell>
          <cell r="I566" t="str">
            <v>FACTURA DE VENTA</v>
          </cell>
          <cell r="J566" t="str">
            <v>Z02</v>
          </cell>
          <cell r="K566">
            <v>661407</v>
          </cell>
        </row>
        <row r="567">
          <cell r="F567" t="str">
            <v>PMP1267530</v>
          </cell>
          <cell r="G567" t="str">
            <v>9436906672</v>
          </cell>
          <cell r="H567" t="str">
            <v xml:space="preserve">  1</v>
          </cell>
          <cell r="I567" t="str">
            <v>FACTURA DE VENTA</v>
          </cell>
          <cell r="J567" t="str">
            <v>Z02</v>
          </cell>
          <cell r="K567">
            <v>440938</v>
          </cell>
        </row>
        <row r="568">
          <cell r="F568" t="str">
            <v>PMP1269489</v>
          </cell>
          <cell r="G568" t="str">
            <v>9437105642</v>
          </cell>
          <cell r="H568" t="str">
            <v xml:space="preserve">  1</v>
          </cell>
          <cell r="I568" t="str">
            <v>FACTURA DE VENTA</v>
          </cell>
          <cell r="J568" t="str">
            <v/>
          </cell>
          <cell r="K568">
            <v>42060023.560000002</v>
          </cell>
        </row>
        <row r="569">
          <cell r="F569" t="str">
            <v>PMP1269488</v>
          </cell>
          <cell r="G569" t="str">
            <v>9437105641</v>
          </cell>
          <cell r="H569" t="str">
            <v xml:space="preserve">  1</v>
          </cell>
          <cell r="I569" t="str">
            <v>FACTURA DE VENTA</v>
          </cell>
          <cell r="J569" t="str">
            <v/>
          </cell>
          <cell r="K569">
            <v>35638010.780000001</v>
          </cell>
        </row>
        <row r="570">
          <cell r="F570" t="str">
            <v>PMP1269486</v>
          </cell>
          <cell r="G570" t="str">
            <v>9437104199</v>
          </cell>
          <cell r="H570" t="str">
            <v xml:space="preserve">  1</v>
          </cell>
          <cell r="I570" t="str">
            <v>FACTURA DE VENTA</v>
          </cell>
          <cell r="J570" t="str">
            <v/>
          </cell>
          <cell r="K570">
            <v>6775815.5199999996</v>
          </cell>
        </row>
        <row r="571">
          <cell r="F571" t="str">
            <v>PMP1269487</v>
          </cell>
          <cell r="G571" t="str">
            <v>9437105640</v>
          </cell>
          <cell r="H571" t="str">
            <v xml:space="preserve">  1</v>
          </cell>
          <cell r="I571" t="str">
            <v>FACTURA DE VENTA</v>
          </cell>
          <cell r="J571" t="str">
            <v/>
          </cell>
          <cell r="K571">
            <v>1015194</v>
          </cell>
        </row>
        <row r="572">
          <cell r="F572" t="str">
            <v>PMP1269333</v>
          </cell>
          <cell r="G572" t="str">
            <v>9437038929</v>
          </cell>
          <cell r="H572" t="str">
            <v xml:space="preserve">  1</v>
          </cell>
          <cell r="I572" t="str">
            <v>FACTURA DE VENTA</v>
          </cell>
          <cell r="J572" t="str">
            <v>Z02</v>
          </cell>
          <cell r="K572">
            <v>97441299.519999996</v>
          </cell>
        </row>
        <row r="573">
          <cell r="F573" t="str">
            <v>PMP1269330</v>
          </cell>
          <cell r="G573" t="str">
            <v>9437038926</v>
          </cell>
          <cell r="H573" t="str">
            <v xml:space="preserve">  1</v>
          </cell>
          <cell r="I573" t="str">
            <v>FACTURA DE VENTA</v>
          </cell>
          <cell r="J573" t="str">
            <v>Z02</v>
          </cell>
          <cell r="K573">
            <v>49207926.710000001</v>
          </cell>
        </row>
        <row r="574">
          <cell r="F574" t="str">
            <v>PMP1269332</v>
          </cell>
          <cell r="G574" t="str">
            <v>9437038928</v>
          </cell>
          <cell r="H574" t="str">
            <v xml:space="preserve">  1</v>
          </cell>
          <cell r="I574" t="str">
            <v>FACTURA DE VENTA</v>
          </cell>
          <cell r="J574" t="str">
            <v>Z02</v>
          </cell>
          <cell r="K574">
            <v>30654657.16</v>
          </cell>
        </row>
        <row r="575">
          <cell r="F575" t="str">
            <v>PMP1269295</v>
          </cell>
          <cell r="G575" t="str">
            <v>9437038095</v>
          </cell>
          <cell r="H575" t="str">
            <v xml:space="preserve">  1</v>
          </cell>
          <cell r="I575" t="str">
            <v>FACTURA DE VENTA</v>
          </cell>
          <cell r="J575" t="str">
            <v>Z02</v>
          </cell>
          <cell r="K575">
            <v>16905364</v>
          </cell>
        </row>
        <row r="576">
          <cell r="F576" t="str">
            <v>PMP1269331</v>
          </cell>
          <cell r="G576" t="str">
            <v>9437038927</v>
          </cell>
          <cell r="H576" t="str">
            <v xml:space="preserve">  1</v>
          </cell>
          <cell r="I576" t="str">
            <v>FACTURA DE VENTA</v>
          </cell>
          <cell r="J576" t="str">
            <v>Z02</v>
          </cell>
          <cell r="K576">
            <v>9422161.6400000006</v>
          </cell>
        </row>
        <row r="577">
          <cell r="F577" t="str">
            <v>PMP1269294</v>
          </cell>
          <cell r="G577" t="str">
            <v>9437038094</v>
          </cell>
          <cell r="H577" t="str">
            <v xml:space="preserve">  1</v>
          </cell>
          <cell r="I577" t="str">
            <v>FACTURA DE VENTA</v>
          </cell>
          <cell r="J577" t="str">
            <v>Z02</v>
          </cell>
          <cell r="K577">
            <v>4909176.4000000004</v>
          </cell>
        </row>
        <row r="578">
          <cell r="F578" t="str">
            <v>PMP1269334</v>
          </cell>
          <cell r="G578" t="str">
            <v>9437038930</v>
          </cell>
          <cell r="H578" t="str">
            <v xml:space="preserve">  1</v>
          </cell>
          <cell r="I578" t="str">
            <v>FACTURA DE VENTA</v>
          </cell>
          <cell r="J578" t="str">
            <v>Z02</v>
          </cell>
          <cell r="K578">
            <v>4787618.8</v>
          </cell>
        </row>
        <row r="579">
          <cell r="F579" t="str">
            <v>PMP1269496</v>
          </cell>
          <cell r="G579" t="str">
            <v>9437105685</v>
          </cell>
          <cell r="H579" t="str">
            <v xml:space="preserve">  1</v>
          </cell>
          <cell r="I579" t="str">
            <v>FACTURA DE VENTA</v>
          </cell>
          <cell r="J579" t="str">
            <v>Z02</v>
          </cell>
          <cell r="K579">
            <v>78202097.840000004</v>
          </cell>
        </row>
        <row r="580">
          <cell r="F580" t="str">
            <v>PMP1269497</v>
          </cell>
          <cell r="G580" t="str">
            <v>9437105686</v>
          </cell>
          <cell r="H580" t="str">
            <v xml:space="preserve">  1</v>
          </cell>
          <cell r="I580" t="str">
            <v>FACTURA DE VENTA</v>
          </cell>
          <cell r="J580" t="str">
            <v>Z02</v>
          </cell>
          <cell r="K580">
            <v>7973154.7999999998</v>
          </cell>
        </row>
        <row r="581">
          <cell r="F581" t="str">
            <v>PMP1269676</v>
          </cell>
          <cell r="G581" t="str">
            <v>9437185205</v>
          </cell>
          <cell r="H581" t="str">
            <v xml:space="preserve">  1</v>
          </cell>
          <cell r="I581" t="str">
            <v>FACTURA DE VENTA</v>
          </cell>
          <cell r="J581" t="str">
            <v>Z02</v>
          </cell>
          <cell r="K581">
            <v>520811264.74000001</v>
          </cell>
        </row>
        <row r="582">
          <cell r="F582" t="str">
            <v>PMP1269675</v>
          </cell>
          <cell r="G582" t="str">
            <v>9437185204</v>
          </cell>
          <cell r="H582" t="str">
            <v xml:space="preserve">  1</v>
          </cell>
          <cell r="I582" t="str">
            <v>FACTURA DE VENTA</v>
          </cell>
          <cell r="J582" t="str">
            <v>Z02</v>
          </cell>
          <cell r="K582">
            <v>128233389.91</v>
          </cell>
        </row>
        <row r="583">
          <cell r="F583" t="str">
            <v>PMP1269784</v>
          </cell>
          <cell r="G583" t="str">
            <v>9437189319</v>
          </cell>
          <cell r="H583" t="str">
            <v xml:space="preserve">  1</v>
          </cell>
          <cell r="I583" t="str">
            <v>FACTURA DE VENTA</v>
          </cell>
          <cell r="J583" t="str">
            <v>Z02</v>
          </cell>
          <cell r="K583">
            <v>106844496.2</v>
          </cell>
        </row>
        <row r="584">
          <cell r="F584" t="str">
            <v>PMP1269677</v>
          </cell>
          <cell r="G584" t="str">
            <v>9437185206</v>
          </cell>
          <cell r="H584" t="str">
            <v xml:space="preserve">  1</v>
          </cell>
          <cell r="I584" t="str">
            <v>FACTURA DE VENTA</v>
          </cell>
          <cell r="J584" t="str">
            <v>Z02</v>
          </cell>
          <cell r="K584">
            <v>81492331.239999995</v>
          </cell>
        </row>
        <row r="585">
          <cell r="F585" t="str">
            <v>PMP1269674</v>
          </cell>
          <cell r="G585" t="str">
            <v>9437185203</v>
          </cell>
          <cell r="H585" t="str">
            <v xml:space="preserve">  1</v>
          </cell>
          <cell r="I585" t="str">
            <v>FACTURA DE VENTA</v>
          </cell>
          <cell r="J585" t="str">
            <v>Z02</v>
          </cell>
          <cell r="K585">
            <v>45996182.479999997</v>
          </cell>
        </row>
        <row r="586">
          <cell r="F586" t="str">
            <v>PMP1269783</v>
          </cell>
          <cell r="G586" t="str">
            <v>9437189318</v>
          </cell>
          <cell r="H586" t="str">
            <v xml:space="preserve">  1</v>
          </cell>
          <cell r="I586" t="str">
            <v>FACTURA DE VENTA</v>
          </cell>
          <cell r="J586" t="str">
            <v>Z02</v>
          </cell>
          <cell r="K586">
            <v>5056155.8</v>
          </cell>
        </row>
        <row r="587">
          <cell r="F587" t="str">
            <v>PMP1269673</v>
          </cell>
          <cell r="G587" t="str">
            <v>9437185202</v>
          </cell>
          <cell r="H587" t="str">
            <v xml:space="preserve">  1</v>
          </cell>
          <cell r="I587" t="str">
            <v>FACTURA DE VENTA</v>
          </cell>
          <cell r="J587" t="str">
            <v>Z02</v>
          </cell>
          <cell r="K587">
            <v>260981</v>
          </cell>
        </row>
        <row r="588">
          <cell r="F588" t="str">
            <v>PMP1270041</v>
          </cell>
          <cell r="G588" t="str">
            <v>9437192578</v>
          </cell>
          <cell r="H588" t="str">
            <v xml:space="preserve">  1</v>
          </cell>
          <cell r="I588" t="str">
            <v>FACTURA DE VENTA</v>
          </cell>
          <cell r="J588" t="str">
            <v>Z02</v>
          </cell>
          <cell r="K588">
            <v>30308880</v>
          </cell>
        </row>
        <row r="589">
          <cell r="F589" t="str">
            <v>PMP1270042</v>
          </cell>
          <cell r="G589" t="str">
            <v>9437192591</v>
          </cell>
          <cell r="H589" t="str">
            <v xml:space="preserve">  1</v>
          </cell>
          <cell r="I589" t="str">
            <v>FACTURA DE VENTA</v>
          </cell>
          <cell r="J589" t="str">
            <v>Z02</v>
          </cell>
          <cell r="K589">
            <v>1322814</v>
          </cell>
        </row>
        <row r="590">
          <cell r="F590" t="str">
            <v>PMP1270019</v>
          </cell>
          <cell r="G590" t="str">
            <v>9437192191</v>
          </cell>
          <cell r="H590" t="str">
            <v xml:space="preserve">  1</v>
          </cell>
          <cell r="I590" t="str">
            <v>FACTURA DE VENTA</v>
          </cell>
          <cell r="J590" t="str">
            <v>Z02</v>
          </cell>
          <cell r="K590">
            <v>267836</v>
          </cell>
        </row>
        <row r="591">
          <cell r="F591" t="str">
            <v>PMP1272940</v>
          </cell>
          <cell r="G591" t="str">
            <v>9437401589</v>
          </cell>
          <cell r="H591" t="str">
            <v xml:space="preserve">  1</v>
          </cell>
          <cell r="I591" t="str">
            <v>FACTURA DE VENTA</v>
          </cell>
          <cell r="J591" t="str">
            <v>Z02</v>
          </cell>
          <cell r="K591">
            <v>628367754.96000004</v>
          </cell>
        </row>
        <row r="592">
          <cell r="F592" t="str">
            <v>PMP1273094</v>
          </cell>
          <cell r="G592" t="str">
            <v>9437441804</v>
          </cell>
          <cell r="H592" t="str">
            <v xml:space="preserve">  1</v>
          </cell>
          <cell r="I592" t="str">
            <v>FACTURA DE VENTA</v>
          </cell>
          <cell r="J592" t="str">
            <v/>
          </cell>
          <cell r="K592">
            <v>360848146.39999998</v>
          </cell>
        </row>
        <row r="593">
          <cell r="F593" t="str">
            <v>PMP1272944</v>
          </cell>
          <cell r="G593" t="str">
            <v>9437401593</v>
          </cell>
          <cell r="H593" t="str">
            <v xml:space="preserve">  1</v>
          </cell>
          <cell r="I593" t="str">
            <v>FACTURA DE VENTA</v>
          </cell>
          <cell r="J593" t="str">
            <v>Z02</v>
          </cell>
          <cell r="K593">
            <v>145534262.38999999</v>
          </cell>
        </row>
        <row r="594">
          <cell r="F594" t="str">
            <v>PMP1272941</v>
          </cell>
          <cell r="G594" t="str">
            <v>9437401590</v>
          </cell>
          <cell r="H594" t="str">
            <v xml:space="preserve">  1</v>
          </cell>
          <cell r="I594" t="str">
            <v>FACTURA DE VENTA</v>
          </cell>
          <cell r="J594" t="str">
            <v>Z02</v>
          </cell>
          <cell r="K594">
            <v>116882384.26000001</v>
          </cell>
        </row>
        <row r="595">
          <cell r="F595" t="str">
            <v>PMP1272791</v>
          </cell>
          <cell r="G595" t="str">
            <v>9437400827</v>
          </cell>
          <cell r="H595" t="str">
            <v xml:space="preserve">  1</v>
          </cell>
          <cell r="I595" t="str">
            <v>FACTURA DE VENTA</v>
          </cell>
          <cell r="J595" t="str">
            <v>Z02</v>
          </cell>
          <cell r="K595">
            <v>107534030.36</v>
          </cell>
        </row>
        <row r="596">
          <cell r="F596" t="str">
            <v>PMP1273097</v>
          </cell>
          <cell r="G596" t="str">
            <v>9437441807</v>
          </cell>
          <cell r="H596" t="str">
            <v xml:space="preserve">  1</v>
          </cell>
          <cell r="I596" t="str">
            <v>FACTURA DE VENTA</v>
          </cell>
          <cell r="J596" t="str">
            <v/>
          </cell>
          <cell r="K596">
            <v>106025178.53</v>
          </cell>
        </row>
        <row r="597">
          <cell r="F597" t="str">
            <v>PMP1273095</v>
          </cell>
          <cell r="G597" t="str">
            <v>9437441805</v>
          </cell>
          <cell r="H597" t="str">
            <v xml:space="preserve">  1</v>
          </cell>
          <cell r="I597" t="str">
            <v>FACTURA DE VENTA</v>
          </cell>
          <cell r="J597" t="str">
            <v/>
          </cell>
          <cell r="K597">
            <v>79424607.760000005</v>
          </cell>
        </row>
        <row r="598">
          <cell r="F598" t="str">
            <v>PMP1272942</v>
          </cell>
          <cell r="G598" t="str">
            <v>9437401591</v>
          </cell>
          <cell r="H598" t="str">
            <v xml:space="preserve">  1</v>
          </cell>
          <cell r="I598" t="str">
            <v>FACTURA DE VENTA</v>
          </cell>
          <cell r="J598" t="str">
            <v>Z02</v>
          </cell>
          <cell r="K598">
            <v>45497992.399999999</v>
          </cell>
        </row>
        <row r="599">
          <cell r="F599" t="str">
            <v>PMP1273093</v>
          </cell>
          <cell r="G599" t="str">
            <v>9437441803</v>
          </cell>
          <cell r="H599" t="str">
            <v xml:space="preserve">  1</v>
          </cell>
          <cell r="I599" t="str">
            <v>FACTURA DE VENTA</v>
          </cell>
          <cell r="J599" t="str">
            <v/>
          </cell>
          <cell r="K599">
            <v>42080334.560000002</v>
          </cell>
        </row>
        <row r="600">
          <cell r="F600" t="str">
            <v>PMP1273096</v>
          </cell>
          <cell r="G600" t="str">
            <v>9437441806</v>
          </cell>
          <cell r="H600" t="str">
            <v xml:space="preserve">  1</v>
          </cell>
          <cell r="I600" t="str">
            <v>FACTURA DE VENTA</v>
          </cell>
          <cell r="J600" t="str">
            <v/>
          </cell>
          <cell r="K600">
            <v>9643201.2799999993</v>
          </cell>
        </row>
        <row r="601">
          <cell r="F601" t="str">
            <v>PMP1272790</v>
          </cell>
          <cell r="G601" t="str">
            <v>9437400826</v>
          </cell>
          <cell r="H601" t="str">
            <v xml:space="preserve">  1</v>
          </cell>
          <cell r="I601" t="str">
            <v>FACTURA DE VENTA</v>
          </cell>
          <cell r="J601" t="str">
            <v>Z02</v>
          </cell>
          <cell r="K601">
            <v>8987043.5999999996</v>
          </cell>
        </row>
        <row r="602">
          <cell r="F602" t="str">
            <v>PMP1272947</v>
          </cell>
          <cell r="G602" t="str">
            <v>9437401596</v>
          </cell>
          <cell r="H602" t="str">
            <v xml:space="preserve">  1</v>
          </cell>
          <cell r="I602" t="str">
            <v>FACTURA DE VENTA</v>
          </cell>
          <cell r="J602" t="str">
            <v>Z02</v>
          </cell>
          <cell r="K602">
            <v>7231682.4400000004</v>
          </cell>
        </row>
        <row r="603">
          <cell r="F603" t="str">
            <v>PMP1272946</v>
          </cell>
          <cell r="G603" t="str">
            <v>9437401595</v>
          </cell>
          <cell r="H603" t="str">
            <v xml:space="preserve">  1</v>
          </cell>
          <cell r="I603" t="str">
            <v>FACTURA DE VENTA</v>
          </cell>
          <cell r="J603" t="str">
            <v>Z02</v>
          </cell>
          <cell r="K603">
            <v>3152159.7</v>
          </cell>
        </row>
        <row r="604">
          <cell r="F604" t="str">
            <v>PMP1272237</v>
          </cell>
          <cell r="G604" t="str">
            <v>9437397420</v>
          </cell>
          <cell r="H604" t="str">
            <v xml:space="preserve">  1</v>
          </cell>
          <cell r="I604" t="str">
            <v>FACTURA DE VENTA</v>
          </cell>
          <cell r="J604" t="str">
            <v>Z02</v>
          </cell>
          <cell r="K604">
            <v>440938</v>
          </cell>
        </row>
        <row r="605">
          <cell r="F605" t="str">
            <v>PMP1272943</v>
          </cell>
          <cell r="G605" t="str">
            <v>9437401592</v>
          </cell>
          <cell r="H605" t="str">
            <v xml:space="preserve">  1</v>
          </cell>
          <cell r="I605" t="str">
            <v>FACTURA DE VENTA</v>
          </cell>
          <cell r="J605" t="str">
            <v>Z02</v>
          </cell>
          <cell r="K605">
            <v>260981</v>
          </cell>
        </row>
        <row r="606">
          <cell r="F606" t="str">
            <v>PMP1272945</v>
          </cell>
          <cell r="G606" t="str">
            <v>9437401594</v>
          </cell>
          <cell r="H606" t="str">
            <v xml:space="preserve">  1</v>
          </cell>
          <cell r="I606" t="str">
            <v>FACTURA DE VENTA</v>
          </cell>
          <cell r="J606" t="str">
            <v>Z02</v>
          </cell>
          <cell r="K606">
            <v>41562.25</v>
          </cell>
        </row>
        <row r="607">
          <cell r="F607" t="str">
            <v>PMP1271870</v>
          </cell>
          <cell r="G607" t="str">
            <v>9437390573</v>
          </cell>
          <cell r="H607" t="str">
            <v xml:space="preserve">  1</v>
          </cell>
          <cell r="I607" t="str">
            <v>FACTURA DE VENTA</v>
          </cell>
          <cell r="J607" t="str">
            <v>Z02</v>
          </cell>
          <cell r="K607">
            <v>101544643.8</v>
          </cell>
        </row>
        <row r="608">
          <cell r="F608" t="str">
            <v>PMP1271871</v>
          </cell>
          <cell r="G608" t="str">
            <v>9437390574</v>
          </cell>
          <cell r="H608" t="str">
            <v xml:space="preserve">  1</v>
          </cell>
          <cell r="I608" t="str">
            <v>FACTURA DE VENTA</v>
          </cell>
          <cell r="J608" t="str">
            <v>Z02</v>
          </cell>
          <cell r="K608">
            <v>10517411.4</v>
          </cell>
        </row>
        <row r="609">
          <cell r="F609" t="str">
            <v>PMP1273873</v>
          </cell>
          <cell r="G609" t="str">
            <v>9437528546</v>
          </cell>
          <cell r="H609" t="str">
            <v xml:space="preserve">  1</v>
          </cell>
          <cell r="I609" t="str">
            <v>FACTURA DE VENTA</v>
          </cell>
          <cell r="J609" t="str">
            <v>Z02</v>
          </cell>
          <cell r="K609">
            <v>345603210.07999998</v>
          </cell>
        </row>
        <row r="610">
          <cell r="F610" t="str">
            <v>PMP1273869</v>
          </cell>
          <cell r="G610" t="str">
            <v>9437528487</v>
          </cell>
          <cell r="H610" t="str">
            <v xml:space="preserve">  1</v>
          </cell>
          <cell r="I610" t="str">
            <v>FACTURA DE VENTA</v>
          </cell>
          <cell r="J610" t="str">
            <v>Z02</v>
          </cell>
          <cell r="K610">
            <v>99121812.739999995</v>
          </cell>
        </row>
        <row r="611">
          <cell r="F611" t="str">
            <v>PMP1273871</v>
          </cell>
          <cell r="G611" t="str">
            <v>9437528540</v>
          </cell>
          <cell r="H611" t="str">
            <v xml:space="preserve">  1</v>
          </cell>
          <cell r="I611" t="str">
            <v>FACTURA DE VENTA</v>
          </cell>
          <cell r="J611" t="str">
            <v>Z02</v>
          </cell>
          <cell r="K611">
            <v>63993731.75</v>
          </cell>
        </row>
        <row r="612">
          <cell r="F612" t="str">
            <v>PMP1273870</v>
          </cell>
          <cell r="G612" t="str">
            <v>9437528489</v>
          </cell>
          <cell r="H612" t="str">
            <v xml:space="preserve">  1</v>
          </cell>
          <cell r="I612" t="str">
            <v>FACTURA DE VENTA</v>
          </cell>
          <cell r="J612" t="str">
            <v>Z02</v>
          </cell>
          <cell r="K612">
            <v>23630723.68</v>
          </cell>
        </row>
        <row r="613">
          <cell r="F613" t="str">
            <v>PMP1273872</v>
          </cell>
          <cell r="G613" t="str">
            <v>9437528543</v>
          </cell>
          <cell r="H613" t="str">
            <v xml:space="preserve">  1</v>
          </cell>
          <cell r="I613" t="str">
            <v>FACTURA DE VENTA</v>
          </cell>
          <cell r="J613" t="str">
            <v>Z02</v>
          </cell>
          <cell r="K613">
            <v>11125085.199999999</v>
          </cell>
        </row>
        <row r="614">
          <cell r="F614" t="str">
            <v>PMP1273918</v>
          </cell>
          <cell r="G614" t="str">
            <v>9437531441</v>
          </cell>
          <cell r="H614" t="str">
            <v xml:space="preserve">  1</v>
          </cell>
          <cell r="I614" t="str">
            <v>FACTURA DE VENTA</v>
          </cell>
          <cell r="J614" t="str">
            <v>Z02</v>
          </cell>
          <cell r="K614">
            <v>484042041.75999999</v>
          </cell>
        </row>
        <row r="615">
          <cell r="F615" t="str">
            <v>PMP1273919</v>
          </cell>
          <cell r="G615" t="str">
            <v>9437531442</v>
          </cell>
          <cell r="H615" t="str">
            <v xml:space="preserve">  1</v>
          </cell>
          <cell r="I615" t="str">
            <v>FACTURA DE VENTA</v>
          </cell>
          <cell r="J615" t="str">
            <v>Z02</v>
          </cell>
          <cell r="K615">
            <v>146110456.46000001</v>
          </cell>
        </row>
        <row r="616">
          <cell r="F616" t="str">
            <v>PMP1273921</v>
          </cell>
          <cell r="G616" t="str">
            <v>9437531444</v>
          </cell>
          <cell r="H616" t="str">
            <v xml:space="preserve">  1</v>
          </cell>
          <cell r="I616" t="str">
            <v>FACTURA DE VENTA</v>
          </cell>
          <cell r="J616" t="str">
            <v>Z02</v>
          </cell>
          <cell r="K616">
            <v>124737328.13</v>
          </cell>
        </row>
        <row r="617">
          <cell r="F617" t="str">
            <v>PMP1273697</v>
          </cell>
          <cell r="G617" t="str">
            <v>9437487450</v>
          </cell>
          <cell r="H617" t="str">
            <v xml:space="preserve">  1</v>
          </cell>
          <cell r="I617" t="str">
            <v>FACTURA DE VENTA</v>
          </cell>
          <cell r="J617" t="str">
            <v>Z02</v>
          </cell>
          <cell r="K617">
            <v>26221994.600000001</v>
          </cell>
        </row>
        <row r="618">
          <cell r="F618" t="str">
            <v>PMP1273920</v>
          </cell>
          <cell r="G618" t="str">
            <v>9437531443</v>
          </cell>
          <cell r="H618" t="str">
            <v xml:space="preserve">  1</v>
          </cell>
          <cell r="I618" t="str">
            <v>FACTURA DE VENTA</v>
          </cell>
          <cell r="J618" t="str">
            <v>Z02</v>
          </cell>
          <cell r="K618">
            <v>11090562</v>
          </cell>
        </row>
        <row r="619">
          <cell r="F619" t="str">
            <v>PMP1273900</v>
          </cell>
          <cell r="G619" t="str">
            <v>9437529101</v>
          </cell>
          <cell r="H619" t="str">
            <v xml:space="preserve">  1</v>
          </cell>
          <cell r="I619" t="str">
            <v>FACTURA DE VENTA</v>
          </cell>
          <cell r="J619" t="str">
            <v>Z02</v>
          </cell>
          <cell r="K619">
            <v>142608015.03999999</v>
          </cell>
        </row>
        <row r="620">
          <cell r="F620" t="str">
            <v>PMP1273899</v>
          </cell>
          <cell r="G620" t="str">
            <v>9437529100</v>
          </cell>
          <cell r="H620" t="str">
            <v xml:space="preserve">  1</v>
          </cell>
          <cell r="I620" t="str">
            <v>FACTURA DE VENTA</v>
          </cell>
          <cell r="J620" t="str">
            <v>Z02</v>
          </cell>
          <cell r="K620">
            <v>36685054.600000001</v>
          </cell>
        </row>
        <row r="621">
          <cell r="F621" t="str">
            <v>PMP1273396</v>
          </cell>
          <cell r="G621" t="str">
            <v>9437461814</v>
          </cell>
          <cell r="H621" t="str">
            <v xml:space="preserve">  1</v>
          </cell>
          <cell r="I621" t="str">
            <v>FACTURA DE VENTA</v>
          </cell>
          <cell r="J621" t="str">
            <v>Z02</v>
          </cell>
          <cell r="K621">
            <v>716198693.74000001</v>
          </cell>
        </row>
        <row r="622">
          <cell r="F622" t="str">
            <v>PMP1274162</v>
          </cell>
          <cell r="G622" t="str">
            <v>9437535573</v>
          </cell>
          <cell r="H622" t="str">
            <v xml:space="preserve">  1</v>
          </cell>
          <cell r="I622" t="str">
            <v>FACTURA DE VENTA</v>
          </cell>
          <cell r="J622" t="str">
            <v>Z02</v>
          </cell>
          <cell r="K622">
            <v>267929114.81999999</v>
          </cell>
        </row>
        <row r="623">
          <cell r="F623" t="str">
            <v>PMP1274165</v>
          </cell>
          <cell r="G623" t="str">
            <v>9437535576</v>
          </cell>
          <cell r="H623" t="str">
            <v xml:space="preserve">  1</v>
          </cell>
          <cell r="I623" t="str">
            <v>FACTURA DE VENTA</v>
          </cell>
          <cell r="J623" t="str">
            <v>Z02</v>
          </cell>
          <cell r="K623">
            <v>138495104.63</v>
          </cell>
        </row>
        <row r="624">
          <cell r="F624" t="str">
            <v>PMP1273398</v>
          </cell>
          <cell r="G624" t="str">
            <v>9437461816</v>
          </cell>
          <cell r="H624" t="str">
            <v xml:space="preserve">  1</v>
          </cell>
          <cell r="I624" t="str">
            <v>FACTURA DE VENTA</v>
          </cell>
          <cell r="J624" t="str">
            <v>Z02</v>
          </cell>
          <cell r="K624">
            <v>129758353.45999999</v>
          </cell>
        </row>
        <row r="625">
          <cell r="F625" t="str">
            <v>PMP1273395</v>
          </cell>
          <cell r="G625" t="str">
            <v>9437461813</v>
          </cell>
          <cell r="H625" t="str">
            <v xml:space="preserve">  1</v>
          </cell>
          <cell r="I625" t="str">
            <v>FACTURA DE VENTA</v>
          </cell>
          <cell r="J625" t="str">
            <v>Z02</v>
          </cell>
          <cell r="K625">
            <v>127637506.81999999</v>
          </cell>
        </row>
        <row r="626">
          <cell r="F626" t="str">
            <v>PMP1274163</v>
          </cell>
          <cell r="G626" t="str">
            <v>9437535574</v>
          </cell>
          <cell r="H626" t="str">
            <v xml:space="preserve">  1</v>
          </cell>
          <cell r="I626" t="str">
            <v>FACTURA DE VENTA</v>
          </cell>
          <cell r="J626" t="str">
            <v>Z02</v>
          </cell>
          <cell r="K626">
            <v>56222307.600000001</v>
          </cell>
        </row>
        <row r="627">
          <cell r="F627" t="str">
            <v>PMP1273397</v>
          </cell>
          <cell r="G627" t="str">
            <v>9437461815</v>
          </cell>
          <cell r="H627" t="str">
            <v xml:space="preserve">  1</v>
          </cell>
          <cell r="I627" t="str">
            <v>FACTURA DE VENTA</v>
          </cell>
          <cell r="J627" t="str">
            <v>Z02</v>
          </cell>
          <cell r="K627">
            <v>8374506</v>
          </cell>
        </row>
        <row r="628">
          <cell r="F628" t="str">
            <v>PMP1274164</v>
          </cell>
          <cell r="G628" t="str">
            <v>9437535575</v>
          </cell>
          <cell r="H628" t="str">
            <v xml:space="preserve">  1</v>
          </cell>
          <cell r="I628" t="str">
            <v>FACTURA DE VENTA</v>
          </cell>
          <cell r="J628" t="str">
            <v>Z02</v>
          </cell>
          <cell r="K628">
            <v>5318943</v>
          </cell>
        </row>
        <row r="629">
          <cell r="F629" t="str">
            <v>PMP1273438</v>
          </cell>
          <cell r="G629" t="str">
            <v>9437475898</v>
          </cell>
          <cell r="H629" t="str">
            <v xml:space="preserve">  1</v>
          </cell>
          <cell r="I629" t="str">
            <v>FACTURA DE VENTA</v>
          </cell>
          <cell r="J629" t="str">
            <v>Z02</v>
          </cell>
          <cell r="K629">
            <v>86652360.840000004</v>
          </cell>
        </row>
        <row r="630">
          <cell r="F630" t="str">
            <v>PMP1273439</v>
          </cell>
          <cell r="G630" t="str">
            <v>9437476690</v>
          </cell>
          <cell r="H630" t="str">
            <v xml:space="preserve">  1</v>
          </cell>
          <cell r="I630" t="str">
            <v>FACTURA DE VENTA</v>
          </cell>
          <cell r="J630" t="str">
            <v>Z02</v>
          </cell>
          <cell r="K630">
            <v>65110227.640000001</v>
          </cell>
        </row>
        <row r="631">
          <cell r="F631" t="str">
            <v>PMP1273435</v>
          </cell>
          <cell r="G631" t="str">
            <v>9437475895</v>
          </cell>
          <cell r="H631" t="str">
            <v xml:space="preserve">  1</v>
          </cell>
          <cell r="I631" t="str">
            <v>FACTURA DE VENTA</v>
          </cell>
          <cell r="J631" t="str">
            <v>Z02</v>
          </cell>
          <cell r="K631">
            <v>14975718.199999999</v>
          </cell>
        </row>
        <row r="632">
          <cell r="F632" t="str">
            <v>PMP1273433</v>
          </cell>
          <cell r="G632" t="str">
            <v>9437475893</v>
          </cell>
          <cell r="H632" t="str">
            <v xml:space="preserve">  1</v>
          </cell>
          <cell r="I632" t="str">
            <v>FACTURA DE VENTA</v>
          </cell>
          <cell r="J632" t="str">
            <v>Z02</v>
          </cell>
          <cell r="K632">
            <v>7831912</v>
          </cell>
        </row>
        <row r="633">
          <cell r="F633" t="str">
            <v>PMP1273436</v>
          </cell>
          <cell r="G633" t="str">
            <v>9437475896</v>
          </cell>
          <cell r="H633" t="str">
            <v xml:space="preserve">  1</v>
          </cell>
          <cell r="I633" t="str">
            <v>FACTURA DE VENTA</v>
          </cell>
          <cell r="J633" t="str">
            <v>Z02</v>
          </cell>
          <cell r="K633">
            <v>2204689</v>
          </cell>
        </row>
        <row r="634">
          <cell r="F634" t="str">
            <v>PMP1276071</v>
          </cell>
          <cell r="G634" t="str">
            <v>9437691300</v>
          </cell>
          <cell r="H634" t="str">
            <v xml:space="preserve">  1</v>
          </cell>
          <cell r="I634" t="str">
            <v>FACTURA DE VENTA</v>
          </cell>
          <cell r="J634" t="str">
            <v/>
          </cell>
          <cell r="K634">
            <v>1844637.2</v>
          </cell>
        </row>
        <row r="635">
          <cell r="F635" t="str">
            <v>PMP1276074</v>
          </cell>
          <cell r="G635" t="str">
            <v>9437691303</v>
          </cell>
          <cell r="H635" t="str">
            <v xml:space="preserve">  1</v>
          </cell>
          <cell r="I635" t="str">
            <v>FACTURA DE VENTA</v>
          </cell>
          <cell r="J635" t="str">
            <v/>
          </cell>
          <cell r="K635">
            <v>238133</v>
          </cell>
        </row>
        <row r="636">
          <cell r="F636" t="str">
            <v>PMP1276706</v>
          </cell>
          <cell r="G636" t="str">
            <v>9437726743</v>
          </cell>
          <cell r="H636" t="str">
            <v xml:space="preserve">  1</v>
          </cell>
          <cell r="I636" t="str">
            <v>FACTURA DE VENTA</v>
          </cell>
          <cell r="J636" t="str">
            <v>Z02</v>
          </cell>
          <cell r="K636">
            <v>40259072.450000003</v>
          </cell>
        </row>
        <row r="637">
          <cell r="F637" t="str">
            <v>PMP1276705</v>
          </cell>
          <cell r="G637" t="str">
            <v>9437726742</v>
          </cell>
          <cell r="H637" t="str">
            <v xml:space="preserve">  1</v>
          </cell>
          <cell r="I637" t="str">
            <v>FACTURA DE VENTA</v>
          </cell>
          <cell r="J637" t="str">
            <v>Z02</v>
          </cell>
          <cell r="K637">
            <v>20312190</v>
          </cell>
        </row>
        <row r="638">
          <cell r="F638" t="str">
            <v>PMP1277211</v>
          </cell>
          <cell r="G638" t="str">
            <v>9437805452</v>
          </cell>
          <cell r="H638" t="str">
            <v xml:space="preserve">  1</v>
          </cell>
          <cell r="I638" t="str">
            <v>FACTURA DE VENTA</v>
          </cell>
          <cell r="J638" t="str">
            <v/>
          </cell>
          <cell r="K638">
            <v>53595536.640000001</v>
          </cell>
        </row>
        <row r="639">
          <cell r="F639" t="str">
            <v>PMP1276364</v>
          </cell>
          <cell r="G639" t="str">
            <v>9437706335</v>
          </cell>
          <cell r="H639" t="str">
            <v xml:space="preserve">  1</v>
          </cell>
          <cell r="I639" t="str">
            <v>FACTURA DE VENTA</v>
          </cell>
          <cell r="J639" t="str">
            <v>Z02</v>
          </cell>
          <cell r="K639">
            <v>36183323.090000004</v>
          </cell>
        </row>
        <row r="640">
          <cell r="F640" t="str">
            <v>PMP1276357</v>
          </cell>
          <cell r="G640" t="str">
            <v>9437706327</v>
          </cell>
          <cell r="H640" t="str">
            <v xml:space="preserve">  1</v>
          </cell>
          <cell r="I640" t="str">
            <v>FACTURA DE VENTA</v>
          </cell>
          <cell r="J640" t="str">
            <v>Z02</v>
          </cell>
          <cell r="K640">
            <v>20945567.399999999</v>
          </cell>
        </row>
        <row r="641">
          <cell r="F641" t="str">
            <v>PMP1277210</v>
          </cell>
          <cell r="G641" t="str">
            <v>9437805451</v>
          </cell>
          <cell r="H641" t="str">
            <v xml:space="preserve">  1</v>
          </cell>
          <cell r="I641" t="str">
            <v>FACTURA DE VENTA</v>
          </cell>
          <cell r="J641" t="str">
            <v/>
          </cell>
          <cell r="K641">
            <v>7592914.7999999998</v>
          </cell>
        </row>
        <row r="642">
          <cell r="F642" t="str">
            <v>PMP1276724</v>
          </cell>
          <cell r="G642" t="str">
            <v>9437731703</v>
          </cell>
          <cell r="H642" t="str">
            <v xml:space="preserve">  1</v>
          </cell>
          <cell r="I642" t="str">
            <v>FACTURA DE VENTA</v>
          </cell>
          <cell r="J642" t="str">
            <v>Z02</v>
          </cell>
          <cell r="K642">
            <v>71909068.840000004</v>
          </cell>
        </row>
        <row r="643">
          <cell r="F643" t="str">
            <v>PMP1276716</v>
          </cell>
          <cell r="G643" t="str">
            <v>9437731128</v>
          </cell>
          <cell r="H643" t="str">
            <v xml:space="preserve">  1</v>
          </cell>
          <cell r="I643" t="str">
            <v>FACTURA DE VENTA</v>
          </cell>
          <cell r="J643" t="str">
            <v>Z02</v>
          </cell>
          <cell r="K643">
            <v>15894956</v>
          </cell>
        </row>
        <row r="644">
          <cell r="F644" t="str">
            <v>PMP1276894</v>
          </cell>
          <cell r="G644" t="str">
            <v>9437756951</v>
          </cell>
          <cell r="H644" t="str">
            <v xml:space="preserve">  1</v>
          </cell>
          <cell r="I644" t="str">
            <v>FACTURA DE VENTA</v>
          </cell>
          <cell r="J644" t="str">
            <v>Z02</v>
          </cell>
          <cell r="K644">
            <v>209902759.88</v>
          </cell>
        </row>
        <row r="645">
          <cell r="F645" t="str">
            <v>PMP1277213</v>
          </cell>
          <cell r="G645" t="str">
            <v>9437805463</v>
          </cell>
          <cell r="H645" t="str">
            <v xml:space="preserve">  1</v>
          </cell>
          <cell r="I645" t="str">
            <v>FACTURA DE VENTA</v>
          </cell>
          <cell r="J645" t="str">
            <v>Z02</v>
          </cell>
          <cell r="K645">
            <v>119812515.08</v>
          </cell>
        </row>
        <row r="646">
          <cell r="F646" t="str">
            <v>PMP1276895</v>
          </cell>
          <cell r="G646" t="str">
            <v>9437756952</v>
          </cell>
          <cell r="H646" t="str">
            <v xml:space="preserve">  1</v>
          </cell>
          <cell r="I646" t="str">
            <v>FACTURA DE VENTA</v>
          </cell>
          <cell r="J646" t="str">
            <v>Z02</v>
          </cell>
          <cell r="K646">
            <v>54697176.399999999</v>
          </cell>
        </row>
        <row r="647">
          <cell r="F647" t="str">
            <v>PMP1277212</v>
          </cell>
          <cell r="G647" t="str">
            <v>9437805462</v>
          </cell>
          <cell r="H647" t="str">
            <v xml:space="preserve">  1</v>
          </cell>
          <cell r="I647" t="str">
            <v>FACTURA DE VENTA</v>
          </cell>
          <cell r="J647" t="str">
            <v>Z02</v>
          </cell>
          <cell r="K647">
            <v>29160256.399999999</v>
          </cell>
        </row>
        <row r="648">
          <cell r="F648" t="str">
            <v>PMP1276068</v>
          </cell>
          <cell r="G648" t="str">
            <v>9437691236</v>
          </cell>
          <cell r="H648" t="str">
            <v xml:space="preserve">  1</v>
          </cell>
          <cell r="I648" t="str">
            <v>FACTURA DE VENTA</v>
          </cell>
          <cell r="J648" t="str">
            <v>Z02</v>
          </cell>
          <cell r="K648">
            <v>501631365.92000002</v>
          </cell>
        </row>
        <row r="649">
          <cell r="F649" t="str">
            <v>PMP1278656</v>
          </cell>
          <cell r="G649" t="str">
            <v>9437864112</v>
          </cell>
          <cell r="H649" t="str">
            <v xml:space="preserve">  1</v>
          </cell>
          <cell r="I649" t="str">
            <v>FACTURA DE VENTA</v>
          </cell>
          <cell r="J649" t="str">
            <v>Z02</v>
          </cell>
          <cell r="K649">
            <v>193888842.84</v>
          </cell>
        </row>
        <row r="650">
          <cell r="F650" t="str">
            <v>PMP1276072</v>
          </cell>
          <cell r="G650" t="str">
            <v>9437691301</v>
          </cell>
          <cell r="H650" t="str">
            <v xml:space="preserve">  1</v>
          </cell>
          <cell r="I650" t="str">
            <v>FACTURA DE VENTA</v>
          </cell>
          <cell r="J650" t="str">
            <v>Z02</v>
          </cell>
          <cell r="K650">
            <v>177708809.81999999</v>
          </cell>
        </row>
        <row r="651">
          <cell r="F651" t="str">
            <v>PMP1276066</v>
          </cell>
          <cell r="G651" t="str">
            <v>9437691234</v>
          </cell>
          <cell r="H651" t="str">
            <v xml:space="preserve">  1</v>
          </cell>
          <cell r="I651" t="str">
            <v>FACTURA DE VENTA</v>
          </cell>
          <cell r="J651" t="str">
            <v>Z02</v>
          </cell>
          <cell r="K651">
            <v>95351009.420000002</v>
          </cell>
        </row>
        <row r="652">
          <cell r="F652" t="str">
            <v>PMP1278659</v>
          </cell>
          <cell r="G652" t="str">
            <v>9437864115</v>
          </cell>
          <cell r="H652" t="str">
            <v xml:space="preserve">  1</v>
          </cell>
          <cell r="I652" t="str">
            <v>FACTURA DE VENTA</v>
          </cell>
          <cell r="J652" t="str">
            <v>Z02</v>
          </cell>
          <cell r="K652">
            <v>41015689.729999997</v>
          </cell>
        </row>
        <row r="653">
          <cell r="F653" t="str">
            <v>PMP1278658</v>
          </cell>
          <cell r="G653" t="str">
            <v>9437864114</v>
          </cell>
          <cell r="H653" t="str">
            <v xml:space="preserve">  1</v>
          </cell>
          <cell r="I653" t="str">
            <v>FACTURA DE VENTA</v>
          </cell>
          <cell r="J653" t="str">
            <v>Z02</v>
          </cell>
          <cell r="K653">
            <v>39140117.68</v>
          </cell>
        </row>
        <row r="654">
          <cell r="F654" t="str">
            <v>PMP1276069</v>
          </cell>
          <cell r="G654" t="str">
            <v>9437691237</v>
          </cell>
          <cell r="H654" t="str">
            <v xml:space="preserve">  1</v>
          </cell>
          <cell r="I654" t="str">
            <v>FACTURA DE VENTA</v>
          </cell>
          <cell r="J654" t="str">
            <v>Z02</v>
          </cell>
          <cell r="K654">
            <v>19890455.620000001</v>
          </cell>
        </row>
        <row r="655">
          <cell r="F655" t="str">
            <v>PMP1277154</v>
          </cell>
          <cell r="G655" t="str">
            <v>9437799431</v>
          </cell>
          <cell r="H655" t="str">
            <v xml:space="preserve">  1</v>
          </cell>
          <cell r="I655" t="str">
            <v>FACTURA DE VENTA</v>
          </cell>
          <cell r="J655" t="str">
            <v>Z02</v>
          </cell>
          <cell r="K655">
            <v>6111126</v>
          </cell>
        </row>
        <row r="656">
          <cell r="F656" t="str">
            <v>PMP1276073</v>
          </cell>
          <cell r="G656" t="str">
            <v>9437691302</v>
          </cell>
          <cell r="H656" t="str">
            <v xml:space="preserve">  1</v>
          </cell>
          <cell r="I656" t="str">
            <v>FACTURA DE VENTA</v>
          </cell>
          <cell r="J656" t="str">
            <v>Z02</v>
          </cell>
          <cell r="K656">
            <v>3344132.28</v>
          </cell>
        </row>
        <row r="657">
          <cell r="F657" t="str">
            <v>PMP1278657</v>
          </cell>
          <cell r="G657" t="str">
            <v>9437864113</v>
          </cell>
          <cell r="H657" t="str">
            <v xml:space="preserve">  1</v>
          </cell>
          <cell r="I657" t="str">
            <v>FACTURA DE VENTA</v>
          </cell>
          <cell r="J657" t="str">
            <v>Z02</v>
          </cell>
          <cell r="K657">
            <v>2602887</v>
          </cell>
        </row>
        <row r="658">
          <cell r="F658" t="str">
            <v>PMP1277155</v>
          </cell>
          <cell r="G658" t="str">
            <v>9437799432</v>
          </cell>
          <cell r="H658" t="str">
            <v xml:space="preserve">  1</v>
          </cell>
          <cell r="I658" t="str">
            <v>FACTURA DE VENTA</v>
          </cell>
          <cell r="J658" t="str">
            <v>Z02</v>
          </cell>
          <cell r="K658">
            <v>695950</v>
          </cell>
        </row>
        <row r="659">
          <cell r="F659" t="str">
            <v>PMP1277157</v>
          </cell>
          <cell r="G659" t="str">
            <v>9437799434</v>
          </cell>
          <cell r="H659" t="str">
            <v xml:space="preserve">  1</v>
          </cell>
          <cell r="I659" t="str">
            <v>FACTURA DE VENTA</v>
          </cell>
          <cell r="J659" t="str">
            <v>Z02</v>
          </cell>
          <cell r="K659">
            <v>218400.26</v>
          </cell>
        </row>
        <row r="660">
          <cell r="F660" t="str">
            <v>PMP1276067</v>
          </cell>
          <cell r="G660" t="str">
            <v>9437691235</v>
          </cell>
          <cell r="H660" t="str">
            <v xml:space="preserve">  1</v>
          </cell>
          <cell r="I660" t="str">
            <v>FACTURA DE VENTA</v>
          </cell>
          <cell r="J660" t="str">
            <v>Z02</v>
          </cell>
          <cell r="K660">
            <v>206660</v>
          </cell>
        </row>
        <row r="661">
          <cell r="F661" t="str">
            <v>PMP1276070</v>
          </cell>
          <cell r="G661" t="str">
            <v>9437691239</v>
          </cell>
          <cell r="H661" t="str">
            <v xml:space="preserve">  1</v>
          </cell>
          <cell r="I661" t="str">
            <v>FACTURA DE VENTA</v>
          </cell>
          <cell r="J661" t="str">
            <v>Z02</v>
          </cell>
          <cell r="K661">
            <v>86994</v>
          </cell>
        </row>
        <row r="662">
          <cell r="F662" t="str">
            <v>PMP1277158</v>
          </cell>
          <cell r="G662" t="str">
            <v>9437799435</v>
          </cell>
          <cell r="H662" t="str">
            <v xml:space="preserve">  1</v>
          </cell>
          <cell r="I662" t="str">
            <v>FACTURA DE VENTA</v>
          </cell>
          <cell r="J662" t="str">
            <v>Z02</v>
          </cell>
          <cell r="K662">
            <v>41562.25</v>
          </cell>
        </row>
        <row r="663">
          <cell r="F663" t="str">
            <v>PMP1281763</v>
          </cell>
          <cell r="G663" t="str">
            <v>9438176472</v>
          </cell>
          <cell r="H663" t="str">
            <v xml:space="preserve">  1</v>
          </cell>
          <cell r="I663" t="str">
            <v>FACTURA DE VENTA</v>
          </cell>
          <cell r="J663" t="str">
            <v>Z02</v>
          </cell>
          <cell r="K663">
            <v>58797528.32</v>
          </cell>
        </row>
        <row r="664">
          <cell r="F664" t="str">
            <v>PMP1281764</v>
          </cell>
          <cell r="G664" t="str">
            <v>9438176473</v>
          </cell>
          <cell r="H664" t="str">
            <v xml:space="preserve">  1</v>
          </cell>
          <cell r="I664" t="str">
            <v>FACTURA DE VENTA</v>
          </cell>
          <cell r="J664" t="str">
            <v>Z02</v>
          </cell>
          <cell r="K664">
            <v>3648374.2</v>
          </cell>
        </row>
        <row r="665">
          <cell r="F665" t="str">
            <v>PMP1282273</v>
          </cell>
          <cell r="G665" t="str">
            <v>9438248472</v>
          </cell>
          <cell r="H665" t="str">
            <v xml:space="preserve">  1</v>
          </cell>
          <cell r="I665" t="str">
            <v>FACTURA DE VENTA</v>
          </cell>
          <cell r="J665" t="str">
            <v/>
          </cell>
          <cell r="K665">
            <v>227503932.90000001</v>
          </cell>
        </row>
        <row r="666">
          <cell r="F666" t="str">
            <v>PMP1281426</v>
          </cell>
          <cell r="G666" t="str">
            <v>9438145309</v>
          </cell>
          <cell r="H666" t="str">
            <v xml:space="preserve">  1</v>
          </cell>
          <cell r="I666" t="str">
            <v>FACTURA DE VENTA</v>
          </cell>
          <cell r="J666" t="str">
            <v>Z02</v>
          </cell>
          <cell r="K666">
            <v>185058522.08000001</v>
          </cell>
        </row>
        <row r="667">
          <cell r="F667" t="str">
            <v>PMP1281424</v>
          </cell>
          <cell r="G667" t="str">
            <v>9438145307</v>
          </cell>
          <cell r="H667" t="str">
            <v xml:space="preserve">  1</v>
          </cell>
          <cell r="I667" t="str">
            <v>FACTURA DE VENTA</v>
          </cell>
          <cell r="J667" t="str">
            <v>Z02</v>
          </cell>
          <cell r="K667">
            <v>125600562.59999999</v>
          </cell>
        </row>
        <row r="668">
          <cell r="F668" t="str">
            <v>PMP1281435</v>
          </cell>
          <cell r="G668" t="str">
            <v>9438145319</v>
          </cell>
          <cell r="H668" t="str">
            <v xml:space="preserve">  1</v>
          </cell>
          <cell r="I668" t="str">
            <v>FACTURA DE VENTA</v>
          </cell>
          <cell r="J668" t="str">
            <v>Z02</v>
          </cell>
          <cell r="K668">
            <v>74372222.439999998</v>
          </cell>
        </row>
        <row r="669">
          <cell r="F669" t="str">
            <v>PMP1281432</v>
          </cell>
          <cell r="G669" t="str">
            <v>9438145316</v>
          </cell>
          <cell r="H669" t="str">
            <v xml:space="preserve">  1</v>
          </cell>
          <cell r="I669" t="str">
            <v>FACTURA DE VENTA</v>
          </cell>
          <cell r="J669" t="str">
            <v>Z02</v>
          </cell>
          <cell r="K669">
            <v>65198243.600000001</v>
          </cell>
        </row>
        <row r="670">
          <cell r="F670" t="str">
            <v>PMP1282405</v>
          </cell>
          <cell r="G670" t="str">
            <v>9438253562</v>
          </cell>
          <cell r="H670" t="str">
            <v xml:space="preserve">  1</v>
          </cell>
          <cell r="I670" t="str">
            <v>FACTURA DE VENTA</v>
          </cell>
          <cell r="J670" t="str">
            <v>Z02</v>
          </cell>
          <cell r="K670">
            <v>59335968.5</v>
          </cell>
        </row>
        <row r="671">
          <cell r="F671" t="str">
            <v>PMP1282274</v>
          </cell>
          <cell r="G671" t="str">
            <v>9438248473</v>
          </cell>
          <cell r="H671" t="str">
            <v xml:space="preserve">  1</v>
          </cell>
          <cell r="I671" t="str">
            <v>FACTURA DE VENTA</v>
          </cell>
          <cell r="J671" t="str">
            <v>Z02</v>
          </cell>
          <cell r="K671">
            <v>43135271.759999998</v>
          </cell>
        </row>
        <row r="672">
          <cell r="F672" t="str">
            <v>PMP1282270</v>
          </cell>
          <cell r="G672" t="str">
            <v>9438247219</v>
          </cell>
          <cell r="H672" t="str">
            <v xml:space="preserve">  1</v>
          </cell>
          <cell r="I672" t="str">
            <v>FACTURA DE VENTA</v>
          </cell>
          <cell r="J672" t="str">
            <v>Z02</v>
          </cell>
          <cell r="K672">
            <v>40630266.280000001</v>
          </cell>
        </row>
        <row r="673">
          <cell r="F673" t="str">
            <v>PMP1282404</v>
          </cell>
          <cell r="G673" t="str">
            <v>9438253511</v>
          </cell>
          <cell r="H673" t="str">
            <v xml:space="preserve">  1</v>
          </cell>
          <cell r="I673" t="str">
            <v>FACTURA DE VENTA</v>
          </cell>
          <cell r="J673" t="str">
            <v>Z02</v>
          </cell>
          <cell r="K673">
            <v>28815775.52</v>
          </cell>
        </row>
        <row r="674">
          <cell r="F674" t="str">
            <v>PMP1281425</v>
          </cell>
          <cell r="G674" t="str">
            <v>9438145308</v>
          </cell>
          <cell r="H674" t="str">
            <v xml:space="preserve">  1</v>
          </cell>
          <cell r="I674" t="str">
            <v>FACTURA DE VENTA</v>
          </cell>
          <cell r="J674" t="str">
            <v>Z02</v>
          </cell>
          <cell r="K674">
            <v>24623010.600000001</v>
          </cell>
        </row>
        <row r="675">
          <cell r="F675" t="str">
            <v>PMP1281359</v>
          </cell>
          <cell r="G675" t="str">
            <v>9438131378</v>
          </cell>
          <cell r="H675" t="str">
            <v xml:space="preserve">  1</v>
          </cell>
          <cell r="I675" t="str">
            <v>FACTURA DE VENTA</v>
          </cell>
          <cell r="J675" t="str">
            <v>Z02</v>
          </cell>
          <cell r="K675">
            <v>24111065</v>
          </cell>
        </row>
        <row r="676">
          <cell r="F676" t="str">
            <v>PMP1282403</v>
          </cell>
          <cell r="G676" t="str">
            <v>9438253510</v>
          </cell>
          <cell r="H676" t="str">
            <v xml:space="preserve">  1</v>
          </cell>
          <cell r="I676" t="str">
            <v>FACTURA DE VENTA</v>
          </cell>
          <cell r="J676" t="str">
            <v>Z02</v>
          </cell>
          <cell r="K676">
            <v>17240834.620000001</v>
          </cell>
        </row>
        <row r="677">
          <cell r="F677" t="str">
            <v>PMP1282401</v>
          </cell>
          <cell r="G677" t="str">
            <v>9438253388</v>
          </cell>
          <cell r="H677" t="str">
            <v xml:space="preserve">  1</v>
          </cell>
          <cell r="I677" t="str">
            <v>FACTURA DE VENTA</v>
          </cell>
          <cell r="J677" t="str">
            <v>Z02</v>
          </cell>
          <cell r="K677">
            <v>14590343.32</v>
          </cell>
        </row>
        <row r="678">
          <cell r="F678" t="str">
            <v>PMP1281423</v>
          </cell>
          <cell r="G678" t="str">
            <v>9438145305</v>
          </cell>
          <cell r="H678" t="str">
            <v xml:space="preserve">  1</v>
          </cell>
          <cell r="I678" t="str">
            <v>FACTURA DE VENTA</v>
          </cell>
          <cell r="J678" t="str">
            <v>Z02</v>
          </cell>
          <cell r="K678">
            <v>12003770</v>
          </cell>
        </row>
        <row r="679">
          <cell r="F679" t="str">
            <v>PMP1281434</v>
          </cell>
          <cell r="G679" t="str">
            <v>9438145318</v>
          </cell>
          <cell r="H679" t="str">
            <v xml:space="preserve">  1</v>
          </cell>
          <cell r="I679" t="str">
            <v>FACTURA DE VENTA</v>
          </cell>
          <cell r="J679" t="str">
            <v>Z02</v>
          </cell>
          <cell r="K679">
            <v>7916295.2000000002</v>
          </cell>
        </row>
        <row r="680">
          <cell r="F680" t="str">
            <v>PMP1281433</v>
          </cell>
          <cell r="G680" t="str">
            <v>9438145317</v>
          </cell>
          <cell r="H680" t="str">
            <v xml:space="preserve">  1</v>
          </cell>
          <cell r="I680" t="str">
            <v>FACTURA DE VENTA</v>
          </cell>
          <cell r="J680" t="str">
            <v>Z02</v>
          </cell>
          <cell r="K680">
            <v>6828977.2000000002</v>
          </cell>
        </row>
        <row r="681">
          <cell r="F681" t="str">
            <v>PMP1282400</v>
          </cell>
          <cell r="G681" t="str">
            <v>9438253387</v>
          </cell>
          <cell r="H681" t="str">
            <v xml:space="preserve">  1</v>
          </cell>
          <cell r="I681" t="str">
            <v>FACTURA DE VENTA</v>
          </cell>
          <cell r="J681" t="str">
            <v>Z02</v>
          </cell>
          <cell r="K681">
            <v>3723522.8</v>
          </cell>
        </row>
        <row r="682">
          <cell r="F682" t="str">
            <v>PMP1281363</v>
          </cell>
          <cell r="G682" t="str">
            <v>9438131402</v>
          </cell>
          <cell r="H682" t="str">
            <v xml:space="preserve">  1</v>
          </cell>
          <cell r="I682" t="str">
            <v>FACTURA DE VENTA</v>
          </cell>
          <cell r="J682" t="str">
            <v>Z02</v>
          </cell>
          <cell r="K682">
            <v>3482451.4</v>
          </cell>
        </row>
        <row r="683">
          <cell r="F683" t="str">
            <v>PMP1282272</v>
          </cell>
          <cell r="G683" t="str">
            <v>9438248471</v>
          </cell>
          <cell r="H683" t="str">
            <v xml:space="preserve">  1</v>
          </cell>
          <cell r="I683" t="str">
            <v>FACTURA DE VENTA</v>
          </cell>
          <cell r="J683" t="str">
            <v>Z02</v>
          </cell>
          <cell r="K683">
            <v>1387177.6</v>
          </cell>
        </row>
        <row r="684">
          <cell r="F684" t="str">
            <v>PMP1282269</v>
          </cell>
          <cell r="G684" t="str">
            <v>9438247218</v>
          </cell>
          <cell r="H684" t="str">
            <v xml:space="preserve">  1</v>
          </cell>
          <cell r="I684" t="str">
            <v>FACTURA DE VENTA</v>
          </cell>
          <cell r="J684" t="str">
            <v>Z02</v>
          </cell>
          <cell r="K684">
            <v>956931</v>
          </cell>
        </row>
        <row r="685">
          <cell r="F685" t="str">
            <v>PMP1283138</v>
          </cell>
          <cell r="G685" t="str">
            <v>9438321168</v>
          </cell>
          <cell r="H685" t="str">
            <v xml:space="preserve">  1</v>
          </cell>
          <cell r="I685" t="str">
            <v>FACTURA DE VENTA</v>
          </cell>
          <cell r="J685" t="str">
            <v/>
          </cell>
          <cell r="K685">
            <v>554871.24</v>
          </cell>
        </row>
        <row r="686">
          <cell r="F686" t="str">
            <v>PMP1282402</v>
          </cell>
          <cell r="G686" t="str">
            <v>9438253389</v>
          </cell>
          <cell r="H686" t="str">
            <v xml:space="preserve">  1</v>
          </cell>
          <cell r="I686" t="str">
            <v>FACTURA DE VENTA</v>
          </cell>
          <cell r="J686" t="str">
            <v>Z02</v>
          </cell>
          <cell r="K686">
            <v>277435.12</v>
          </cell>
        </row>
        <row r="687">
          <cell r="F687" t="str">
            <v>PMP1282271</v>
          </cell>
          <cell r="G687" t="str">
            <v>9438248470</v>
          </cell>
          <cell r="H687" t="str">
            <v xml:space="preserve">  1</v>
          </cell>
          <cell r="I687" t="str">
            <v>FACTURA DE VENTA</v>
          </cell>
          <cell r="J687" t="str">
            <v>Z02</v>
          </cell>
          <cell r="K687">
            <v>83124.5</v>
          </cell>
        </row>
        <row r="688">
          <cell r="F688" t="str">
            <v>PMP1282005</v>
          </cell>
          <cell r="G688" t="str">
            <v>9438220050</v>
          </cell>
          <cell r="H688" t="str">
            <v xml:space="preserve">  1</v>
          </cell>
          <cell r="I688" t="str">
            <v>FACTURA DE VENTA</v>
          </cell>
          <cell r="J688" t="str">
            <v>Z02</v>
          </cell>
          <cell r="K688">
            <v>41428153.32</v>
          </cell>
        </row>
        <row r="689">
          <cell r="F689" t="str">
            <v>PMP1282574</v>
          </cell>
          <cell r="G689" t="str">
            <v>9438254337</v>
          </cell>
          <cell r="H689" t="str">
            <v xml:space="preserve">  1</v>
          </cell>
          <cell r="I689" t="str">
            <v>FACTURA DE VENTA</v>
          </cell>
          <cell r="J689" t="str">
            <v>Z02</v>
          </cell>
          <cell r="K689">
            <v>36063916.159999996</v>
          </cell>
        </row>
        <row r="690">
          <cell r="F690" t="str">
            <v>PMP1282002</v>
          </cell>
          <cell r="G690" t="str">
            <v>9438220047</v>
          </cell>
          <cell r="H690" t="str">
            <v xml:space="preserve">  1</v>
          </cell>
          <cell r="I690" t="str">
            <v>FACTURA DE VENTA</v>
          </cell>
          <cell r="J690" t="str">
            <v>Z02</v>
          </cell>
          <cell r="K690">
            <v>11214176.5</v>
          </cell>
        </row>
        <row r="691">
          <cell r="F691" t="str">
            <v>PMP1282003</v>
          </cell>
          <cell r="G691" t="str">
            <v>9438220048</v>
          </cell>
          <cell r="H691" t="str">
            <v xml:space="preserve">  1</v>
          </cell>
          <cell r="I691" t="str">
            <v>FACTURA DE VENTA</v>
          </cell>
          <cell r="J691" t="str">
            <v>Z02</v>
          </cell>
          <cell r="K691">
            <v>1939966.12</v>
          </cell>
        </row>
        <row r="692">
          <cell r="F692" t="str">
            <v>PMP1282016</v>
          </cell>
          <cell r="G692" t="str">
            <v>9438220061</v>
          </cell>
          <cell r="H692" t="str">
            <v xml:space="preserve">  1</v>
          </cell>
          <cell r="I692" t="str">
            <v>FACTURA DE VENTA</v>
          </cell>
          <cell r="J692" t="str">
            <v>Z02</v>
          </cell>
          <cell r="K692">
            <v>554871.24</v>
          </cell>
        </row>
        <row r="693">
          <cell r="F693" t="str">
            <v>PMP1284521</v>
          </cell>
          <cell r="G693" t="str">
            <v>9438384108</v>
          </cell>
          <cell r="H693" t="str">
            <v xml:space="preserve">  1</v>
          </cell>
          <cell r="I693" t="str">
            <v>FACTURA DE VENTA</v>
          </cell>
          <cell r="J693" t="str">
            <v/>
          </cell>
          <cell r="K693">
            <v>518183197.60000002</v>
          </cell>
        </row>
        <row r="694">
          <cell r="F694" t="str">
            <v>PMP1284526</v>
          </cell>
          <cell r="G694" t="str">
            <v>9438384173</v>
          </cell>
          <cell r="H694" t="str">
            <v xml:space="preserve">  1</v>
          </cell>
          <cell r="I694" t="str">
            <v>FACTURA DE VENTA</v>
          </cell>
          <cell r="J694" t="str">
            <v/>
          </cell>
          <cell r="K694">
            <v>121023212.2</v>
          </cell>
        </row>
        <row r="695">
          <cell r="F695" t="str">
            <v>PMP1284631</v>
          </cell>
          <cell r="G695" t="str">
            <v>9438424216</v>
          </cell>
          <cell r="H695" t="str">
            <v xml:space="preserve">  1</v>
          </cell>
          <cell r="I695" t="str">
            <v>FACTURA DE VENTA</v>
          </cell>
          <cell r="J695" t="str">
            <v/>
          </cell>
          <cell r="K695">
            <v>227909653.12</v>
          </cell>
        </row>
        <row r="696">
          <cell r="F696" t="str">
            <v>PMP1284632</v>
          </cell>
          <cell r="G696" t="str">
            <v>9438424217</v>
          </cell>
          <cell r="H696" t="str">
            <v xml:space="preserve">  1</v>
          </cell>
          <cell r="I696" t="str">
            <v>FACTURA DE VENTA</v>
          </cell>
          <cell r="J696" t="str">
            <v/>
          </cell>
          <cell r="K696">
            <v>36851047</v>
          </cell>
        </row>
        <row r="697">
          <cell r="F697" t="str">
            <v>PMP1283324</v>
          </cell>
          <cell r="G697" t="str">
            <v>9438335786</v>
          </cell>
          <cell r="H697" t="str">
            <v xml:space="preserve">  1</v>
          </cell>
          <cell r="I697" t="str">
            <v>FACTURA DE VENTA</v>
          </cell>
          <cell r="J697" t="str">
            <v>Z02</v>
          </cell>
          <cell r="K697">
            <v>635215583.39999998</v>
          </cell>
        </row>
        <row r="698">
          <cell r="F698" t="str">
            <v>PMP1283142</v>
          </cell>
          <cell r="G698" t="str">
            <v>9438321275</v>
          </cell>
          <cell r="H698" t="str">
            <v xml:space="preserve">  1</v>
          </cell>
          <cell r="I698" t="str">
            <v>FACTURA DE VENTA</v>
          </cell>
          <cell r="J698" t="str">
            <v>Z02</v>
          </cell>
          <cell r="K698">
            <v>451028358.75999999</v>
          </cell>
        </row>
        <row r="699">
          <cell r="F699" t="str">
            <v>PMP1284899</v>
          </cell>
          <cell r="G699" t="str">
            <v>9438450581</v>
          </cell>
          <cell r="H699" t="str">
            <v xml:space="preserve">  1</v>
          </cell>
          <cell r="I699" t="str">
            <v>FACTURA DE VENTA</v>
          </cell>
          <cell r="J699" t="str">
            <v>Z02</v>
          </cell>
          <cell r="K699">
            <v>274298535.39999998</v>
          </cell>
        </row>
        <row r="700">
          <cell r="F700" t="str">
            <v>PMP1284623</v>
          </cell>
          <cell r="G700" t="str">
            <v>9438423657</v>
          </cell>
          <cell r="H700" t="str">
            <v xml:space="preserve">  1</v>
          </cell>
          <cell r="I700" t="str">
            <v>FACTURA DE VENTA</v>
          </cell>
          <cell r="J700" t="str">
            <v>Z02</v>
          </cell>
          <cell r="K700">
            <v>215882338.96000001</v>
          </cell>
        </row>
        <row r="701">
          <cell r="F701" t="str">
            <v>PMP1283323</v>
          </cell>
          <cell r="G701" t="str">
            <v>9438335785</v>
          </cell>
          <cell r="H701" t="str">
            <v xml:space="preserve">  1</v>
          </cell>
          <cell r="I701" t="str">
            <v>FACTURA DE VENTA</v>
          </cell>
          <cell r="J701" t="str">
            <v>Z02</v>
          </cell>
          <cell r="K701">
            <v>162200028.58000001</v>
          </cell>
        </row>
        <row r="702">
          <cell r="F702" t="str">
            <v>PMP1284522</v>
          </cell>
          <cell r="G702" t="str">
            <v>9438384109</v>
          </cell>
          <cell r="H702" t="str">
            <v xml:space="preserve">  1</v>
          </cell>
          <cell r="I702" t="str">
            <v>FACTURA DE VENTA</v>
          </cell>
          <cell r="J702" t="str">
            <v>Z02</v>
          </cell>
          <cell r="K702">
            <v>144556786.40000001</v>
          </cell>
        </row>
        <row r="703">
          <cell r="F703" t="str">
            <v>PMP1283135</v>
          </cell>
          <cell r="G703" t="str">
            <v>9438321116</v>
          </cell>
          <cell r="H703" t="str">
            <v xml:space="preserve">  1</v>
          </cell>
          <cell r="I703" t="str">
            <v>FACTURA DE VENTA</v>
          </cell>
          <cell r="J703" t="str">
            <v>Z02</v>
          </cell>
          <cell r="K703">
            <v>97880685.900000006</v>
          </cell>
        </row>
        <row r="704">
          <cell r="F704" t="str">
            <v>PMP1283137</v>
          </cell>
          <cell r="G704" t="str">
            <v>9438321142</v>
          </cell>
          <cell r="H704" t="str">
            <v xml:space="preserve">  1</v>
          </cell>
          <cell r="I704" t="str">
            <v>FACTURA DE VENTA</v>
          </cell>
          <cell r="J704" t="str">
            <v>Z02</v>
          </cell>
          <cell r="K704">
            <v>84309326.819999993</v>
          </cell>
        </row>
        <row r="705">
          <cell r="F705" t="str">
            <v>PMP1284626</v>
          </cell>
          <cell r="G705" t="str">
            <v>9438423750</v>
          </cell>
          <cell r="H705" t="str">
            <v xml:space="preserve">  1</v>
          </cell>
          <cell r="I705" t="str">
            <v>FACTURA DE VENTA</v>
          </cell>
          <cell r="J705" t="str">
            <v>Z02</v>
          </cell>
          <cell r="K705">
            <v>66827869.020000003</v>
          </cell>
        </row>
        <row r="706">
          <cell r="F706" t="str">
            <v>PMP1284624</v>
          </cell>
          <cell r="G706" t="str">
            <v>9438423658</v>
          </cell>
          <cell r="H706" t="str">
            <v xml:space="preserve">  1</v>
          </cell>
          <cell r="I706" t="str">
            <v>FACTURA DE VENTA</v>
          </cell>
          <cell r="J706" t="str">
            <v>Z02</v>
          </cell>
          <cell r="K706">
            <v>65831200.479999997</v>
          </cell>
        </row>
        <row r="707">
          <cell r="F707" t="str">
            <v>PMP1284898</v>
          </cell>
          <cell r="G707" t="str">
            <v>9438450580</v>
          </cell>
          <cell r="H707" t="str">
            <v xml:space="preserve">  1</v>
          </cell>
          <cell r="I707" t="str">
            <v>FACTURA DE VENTA</v>
          </cell>
          <cell r="J707" t="str">
            <v>Z02</v>
          </cell>
          <cell r="K707">
            <v>53487434.640000001</v>
          </cell>
        </row>
        <row r="708">
          <cell r="F708" t="str">
            <v>PMP1283139</v>
          </cell>
          <cell r="G708" t="str">
            <v>9438321169</v>
          </cell>
          <cell r="H708" t="str">
            <v xml:space="preserve">  1</v>
          </cell>
          <cell r="I708" t="str">
            <v>FACTURA DE VENTA</v>
          </cell>
          <cell r="J708" t="str">
            <v>Z02</v>
          </cell>
          <cell r="K708">
            <v>36063916.159999996</v>
          </cell>
        </row>
        <row r="709">
          <cell r="F709" t="str">
            <v>PMP1284896</v>
          </cell>
          <cell r="G709" t="str">
            <v>9438450378</v>
          </cell>
          <cell r="H709" t="str">
            <v xml:space="preserve">  1</v>
          </cell>
          <cell r="I709" t="str">
            <v>FACTURA DE VENTA</v>
          </cell>
          <cell r="J709" t="str">
            <v>Z02</v>
          </cell>
          <cell r="K709">
            <v>25877004.800000001</v>
          </cell>
        </row>
        <row r="710">
          <cell r="F710" t="str">
            <v>PMP1283134</v>
          </cell>
          <cell r="G710" t="str">
            <v>9438321112</v>
          </cell>
          <cell r="H710" t="str">
            <v xml:space="preserve">  1</v>
          </cell>
          <cell r="I710" t="str">
            <v>FACTURA DE VENTA</v>
          </cell>
          <cell r="J710" t="str">
            <v>Z02</v>
          </cell>
          <cell r="K710">
            <v>22883103.640000001</v>
          </cell>
        </row>
        <row r="711">
          <cell r="F711" t="str">
            <v>PMP1284520</v>
          </cell>
          <cell r="G711" t="str">
            <v>9438384107</v>
          </cell>
          <cell r="H711" t="str">
            <v xml:space="preserve">  1</v>
          </cell>
          <cell r="I711" t="str">
            <v>FACTURA DE VENTA</v>
          </cell>
          <cell r="J711" t="str">
            <v>Z02</v>
          </cell>
          <cell r="K711">
            <v>19583936.719999999</v>
          </cell>
        </row>
        <row r="712">
          <cell r="F712" t="str">
            <v>PMP1284900</v>
          </cell>
          <cell r="G712" t="str">
            <v>9438450582</v>
          </cell>
          <cell r="H712" t="str">
            <v xml:space="preserve">  1</v>
          </cell>
          <cell r="I712" t="str">
            <v>FACTURA DE VENTA</v>
          </cell>
          <cell r="J712" t="str">
            <v>Z02</v>
          </cell>
          <cell r="K712">
            <v>11477349.199999999</v>
          </cell>
        </row>
        <row r="713">
          <cell r="F713" t="str">
            <v>PMP1284525</v>
          </cell>
          <cell r="G713" t="str">
            <v>9438384172</v>
          </cell>
          <cell r="H713" t="str">
            <v xml:space="preserve">  1</v>
          </cell>
          <cell r="I713" t="str">
            <v>FACTURA DE VENTA</v>
          </cell>
          <cell r="J713" t="str">
            <v>Z02</v>
          </cell>
          <cell r="K713">
            <v>10719997.92</v>
          </cell>
        </row>
        <row r="714">
          <cell r="F714" t="str">
            <v>PMP1284901</v>
          </cell>
          <cell r="G714" t="str">
            <v>9438450583</v>
          </cell>
          <cell r="H714" t="str">
            <v xml:space="preserve">  1</v>
          </cell>
          <cell r="I714" t="str">
            <v>FACTURA DE VENTA</v>
          </cell>
          <cell r="J714" t="str">
            <v>Z02</v>
          </cell>
          <cell r="K714">
            <v>9664339</v>
          </cell>
        </row>
        <row r="715">
          <cell r="F715" t="str">
            <v>PMP1284622</v>
          </cell>
          <cell r="G715" t="str">
            <v>9438423656</v>
          </cell>
          <cell r="H715" t="str">
            <v xml:space="preserve">  1</v>
          </cell>
          <cell r="I715" t="str">
            <v>FACTURA DE VENTA</v>
          </cell>
          <cell r="J715" t="str">
            <v>Z02</v>
          </cell>
          <cell r="K715">
            <v>7370870.6399999997</v>
          </cell>
        </row>
        <row r="716">
          <cell r="F716" t="str">
            <v>PMP1284779</v>
          </cell>
          <cell r="G716" t="str">
            <v>9438429159</v>
          </cell>
          <cell r="H716" t="str">
            <v xml:space="preserve">  1</v>
          </cell>
          <cell r="I716" t="str">
            <v>FACTURA DE VENTA</v>
          </cell>
          <cell r="J716" t="str">
            <v>Z02</v>
          </cell>
          <cell r="K716">
            <v>7039998.4400000004</v>
          </cell>
        </row>
        <row r="717">
          <cell r="F717" t="str">
            <v>PMP1284524</v>
          </cell>
          <cell r="G717" t="str">
            <v>9438384171</v>
          </cell>
          <cell r="H717" t="str">
            <v xml:space="preserve">  1</v>
          </cell>
          <cell r="I717" t="str">
            <v>FACTURA DE VENTA</v>
          </cell>
          <cell r="J717" t="str">
            <v>Z02</v>
          </cell>
          <cell r="K717">
            <v>5914538.2000000002</v>
          </cell>
        </row>
        <row r="718">
          <cell r="F718" t="str">
            <v>PMP1285642</v>
          </cell>
          <cell r="G718" t="str">
            <v>9438510919</v>
          </cell>
          <cell r="H718" t="str">
            <v xml:space="preserve">  1</v>
          </cell>
          <cell r="I718" t="str">
            <v>FACTURA DE VENTA</v>
          </cell>
          <cell r="J718" t="str">
            <v/>
          </cell>
          <cell r="K718">
            <v>3716132.28</v>
          </cell>
        </row>
        <row r="719">
          <cell r="F719" t="str">
            <v>PMP1285645</v>
          </cell>
          <cell r="G719" t="str">
            <v>9438511142</v>
          </cell>
          <cell r="H719" t="str">
            <v xml:space="preserve">  1</v>
          </cell>
          <cell r="I719" t="str">
            <v>FACTURA DE VENTA</v>
          </cell>
          <cell r="J719" t="str">
            <v/>
          </cell>
          <cell r="K719">
            <v>3716132.28</v>
          </cell>
        </row>
        <row r="720">
          <cell r="F720" t="str">
            <v>PMP1285623</v>
          </cell>
          <cell r="G720" t="str">
            <v>9438510620</v>
          </cell>
          <cell r="H720" t="str">
            <v xml:space="preserve">  1</v>
          </cell>
          <cell r="I720" t="str">
            <v>FACTURA DE VENTA</v>
          </cell>
          <cell r="J720" t="str">
            <v/>
          </cell>
          <cell r="K720">
            <v>3385381.57</v>
          </cell>
        </row>
        <row r="721">
          <cell r="F721" t="str">
            <v>PMP1284897</v>
          </cell>
          <cell r="G721" t="str">
            <v>9438450379</v>
          </cell>
          <cell r="H721" t="str">
            <v xml:space="preserve">  1</v>
          </cell>
          <cell r="I721" t="str">
            <v>FACTURA DE VENTA</v>
          </cell>
          <cell r="J721" t="str">
            <v>Z02</v>
          </cell>
          <cell r="K721">
            <v>1953787.6</v>
          </cell>
        </row>
        <row r="722">
          <cell r="F722" t="str">
            <v>PMP1285644</v>
          </cell>
          <cell r="G722" t="str">
            <v>9438511141</v>
          </cell>
          <cell r="H722" t="str">
            <v xml:space="preserve">  1</v>
          </cell>
          <cell r="I722" t="str">
            <v>FACTURA DE VENTA</v>
          </cell>
          <cell r="J722" t="str">
            <v/>
          </cell>
          <cell r="K722">
            <v>1953787.6</v>
          </cell>
        </row>
        <row r="723">
          <cell r="F723" t="str">
            <v>PMP1284625</v>
          </cell>
          <cell r="G723" t="str">
            <v>9438423659</v>
          </cell>
          <cell r="H723" t="str">
            <v xml:space="preserve">  1</v>
          </cell>
          <cell r="I723" t="str">
            <v>FACTURA DE VENTA</v>
          </cell>
          <cell r="J723" t="str">
            <v>Z02</v>
          </cell>
          <cell r="K723">
            <v>1865269.8</v>
          </cell>
        </row>
        <row r="724">
          <cell r="F724" t="str">
            <v>PMP1285643</v>
          </cell>
          <cell r="G724" t="str">
            <v>9438511140</v>
          </cell>
          <cell r="H724" t="str">
            <v xml:space="preserve">  1</v>
          </cell>
          <cell r="I724" t="str">
            <v>FACTURA DE VENTA</v>
          </cell>
          <cell r="J724" t="str">
            <v/>
          </cell>
          <cell r="K724">
            <v>1631086.4</v>
          </cell>
        </row>
        <row r="725">
          <cell r="F725" t="str">
            <v>PMP1285615</v>
          </cell>
          <cell r="G725" t="str">
            <v>9438510592</v>
          </cell>
          <cell r="H725" t="str">
            <v xml:space="preserve">  1</v>
          </cell>
          <cell r="I725" t="str">
            <v>FACTURA DE VENTA</v>
          </cell>
          <cell r="J725" t="str">
            <v/>
          </cell>
          <cell r="K725">
            <v>921047.16</v>
          </cell>
        </row>
        <row r="726">
          <cell r="F726" t="str">
            <v>PMP1283136</v>
          </cell>
          <cell r="G726" t="str">
            <v>9438321137</v>
          </cell>
          <cell r="H726" t="str">
            <v xml:space="preserve">  1</v>
          </cell>
          <cell r="I726" t="str">
            <v>FACTURA DE VENTA</v>
          </cell>
          <cell r="J726" t="str">
            <v>Z02</v>
          </cell>
          <cell r="K726">
            <v>695950</v>
          </cell>
        </row>
        <row r="727">
          <cell r="F727" t="str">
            <v>PMP1285622</v>
          </cell>
          <cell r="G727" t="str">
            <v>9438510599</v>
          </cell>
          <cell r="H727" t="str">
            <v xml:space="preserve">  1</v>
          </cell>
          <cell r="I727" t="str">
            <v>FACTURA DE VENTA</v>
          </cell>
          <cell r="J727" t="str">
            <v/>
          </cell>
          <cell r="K727">
            <v>495835.38</v>
          </cell>
        </row>
        <row r="728">
          <cell r="F728" t="str">
            <v>PMP1284519</v>
          </cell>
          <cell r="G728" t="str">
            <v>9438384106</v>
          </cell>
          <cell r="H728" t="str">
            <v xml:space="preserve">  1</v>
          </cell>
          <cell r="I728" t="str">
            <v>FACTURA DE VENTA</v>
          </cell>
          <cell r="J728" t="str">
            <v>Z02</v>
          </cell>
          <cell r="K728">
            <v>347975</v>
          </cell>
        </row>
        <row r="729">
          <cell r="F729" t="str">
            <v>PMP1284621</v>
          </cell>
          <cell r="G729" t="str">
            <v>9438423655</v>
          </cell>
          <cell r="H729" t="str">
            <v xml:space="preserve">  1</v>
          </cell>
          <cell r="I729" t="str">
            <v>FACTURA DE VENTA</v>
          </cell>
          <cell r="J729" t="str">
            <v>Z02</v>
          </cell>
          <cell r="K729">
            <v>86994</v>
          </cell>
        </row>
        <row r="730">
          <cell r="F730" t="str">
            <v>PMP1285617</v>
          </cell>
          <cell r="G730" t="str">
            <v>9438510594</v>
          </cell>
          <cell r="H730" t="str">
            <v xml:space="preserve">  1</v>
          </cell>
          <cell r="I730" t="str">
            <v>FACTURA DE VENTA</v>
          </cell>
          <cell r="J730" t="str">
            <v/>
          </cell>
          <cell r="K730">
            <v>86994</v>
          </cell>
        </row>
        <row r="731">
          <cell r="F731" t="str">
            <v>PMP1284523</v>
          </cell>
          <cell r="G731" t="str">
            <v>9438384170</v>
          </cell>
          <cell r="H731" t="str">
            <v xml:space="preserve">  1</v>
          </cell>
          <cell r="I731" t="str">
            <v>FACTURA DE VENTA</v>
          </cell>
          <cell r="J731" t="str">
            <v>Z02</v>
          </cell>
          <cell r="K731">
            <v>41562.25</v>
          </cell>
        </row>
        <row r="732">
          <cell r="F732" t="str">
            <v>PMP1286466</v>
          </cell>
          <cell r="G732" t="str">
            <v>9438593021</v>
          </cell>
          <cell r="H732" t="str">
            <v xml:space="preserve">  1</v>
          </cell>
          <cell r="I732" t="str">
            <v>FACTURA DE VENTA</v>
          </cell>
          <cell r="J732" t="str">
            <v/>
          </cell>
          <cell r="K732">
            <v>640693961.84000003</v>
          </cell>
        </row>
        <row r="733">
          <cell r="F733" t="str">
            <v>PMP1286191</v>
          </cell>
          <cell r="G733" t="str">
            <v>9438567427</v>
          </cell>
          <cell r="H733" t="str">
            <v xml:space="preserve">  1</v>
          </cell>
          <cell r="I733" t="str">
            <v>FACTURA DE VENTA</v>
          </cell>
          <cell r="J733" t="str">
            <v/>
          </cell>
          <cell r="K733">
            <v>468865394.63999999</v>
          </cell>
        </row>
        <row r="734">
          <cell r="F734" t="str">
            <v>PMP1286180</v>
          </cell>
          <cell r="G734" t="str">
            <v>9438566031</v>
          </cell>
          <cell r="H734" t="str">
            <v xml:space="preserve">  1</v>
          </cell>
          <cell r="I734" t="str">
            <v>FACTURA DE VENTA</v>
          </cell>
          <cell r="J734" t="str">
            <v/>
          </cell>
          <cell r="K734">
            <v>374621894.60000002</v>
          </cell>
        </row>
        <row r="735">
          <cell r="F735" t="str">
            <v>PMP1286422</v>
          </cell>
          <cell r="G735" t="str">
            <v>9438587496</v>
          </cell>
          <cell r="H735" t="str">
            <v xml:space="preserve">  1</v>
          </cell>
          <cell r="I735" t="str">
            <v>FACTURA DE VENTA</v>
          </cell>
          <cell r="J735" t="str">
            <v/>
          </cell>
          <cell r="K735">
            <v>280714498.44</v>
          </cell>
        </row>
        <row r="736">
          <cell r="F736" t="str">
            <v>PMP1286467</v>
          </cell>
          <cell r="G736" t="str">
            <v>9438593022</v>
          </cell>
          <cell r="H736" t="str">
            <v xml:space="preserve">  1</v>
          </cell>
          <cell r="I736" t="str">
            <v>FACTURA DE VENTA</v>
          </cell>
          <cell r="J736" t="str">
            <v/>
          </cell>
          <cell r="K736">
            <v>137894507.16</v>
          </cell>
        </row>
        <row r="737">
          <cell r="F737" t="str">
            <v>PMP1286181</v>
          </cell>
          <cell r="G737" t="str">
            <v>9438566038</v>
          </cell>
          <cell r="H737" t="str">
            <v xml:space="preserve">  1</v>
          </cell>
          <cell r="I737" t="str">
            <v>FACTURA DE VENTA</v>
          </cell>
          <cell r="J737" t="str">
            <v/>
          </cell>
          <cell r="K737">
            <v>96593393.260000005</v>
          </cell>
        </row>
        <row r="738">
          <cell r="F738" t="str">
            <v>PMP1286182</v>
          </cell>
          <cell r="G738" t="str">
            <v>9438566039</v>
          </cell>
          <cell r="H738" t="str">
            <v xml:space="preserve">  1</v>
          </cell>
          <cell r="I738" t="str">
            <v>FACTURA DE VENTA</v>
          </cell>
          <cell r="J738" t="str">
            <v/>
          </cell>
          <cell r="K738">
            <v>70799635.870000005</v>
          </cell>
        </row>
        <row r="739">
          <cell r="F739" t="str">
            <v>PMP1286465</v>
          </cell>
          <cell r="G739" t="str">
            <v>9438593020</v>
          </cell>
          <cell r="H739" t="str">
            <v xml:space="preserve">  1</v>
          </cell>
          <cell r="I739" t="str">
            <v>FACTURA DE VENTA</v>
          </cell>
          <cell r="J739" t="str">
            <v/>
          </cell>
          <cell r="K739">
            <v>62624115.219999999</v>
          </cell>
        </row>
        <row r="740">
          <cell r="F740" t="str">
            <v>PMP1286190</v>
          </cell>
          <cell r="G740" t="str">
            <v>9438567426</v>
          </cell>
          <cell r="H740" t="str">
            <v xml:space="preserve">  1</v>
          </cell>
          <cell r="I740" t="str">
            <v>FACTURA DE VENTA</v>
          </cell>
          <cell r="J740" t="str">
            <v/>
          </cell>
          <cell r="K740">
            <v>26616630.399999999</v>
          </cell>
        </row>
        <row r="741">
          <cell r="F741" t="str">
            <v>PMP1286379</v>
          </cell>
          <cell r="G741" t="str">
            <v>9438583274</v>
          </cell>
          <cell r="H741" t="str">
            <v xml:space="preserve">  1</v>
          </cell>
          <cell r="I741" t="str">
            <v>FACTURA DE VENTA</v>
          </cell>
          <cell r="J741" t="str">
            <v/>
          </cell>
          <cell r="K741">
            <v>15060953.5</v>
          </cell>
        </row>
        <row r="742">
          <cell r="F742" t="str">
            <v>PMP1286421</v>
          </cell>
          <cell r="G742" t="str">
            <v>9438587495</v>
          </cell>
          <cell r="H742" t="str">
            <v xml:space="preserve">  1</v>
          </cell>
          <cell r="I742" t="str">
            <v>FACTURA DE VENTA</v>
          </cell>
          <cell r="J742" t="str">
            <v/>
          </cell>
          <cell r="K742">
            <v>10003422.199999999</v>
          </cell>
        </row>
        <row r="743">
          <cell r="F743" t="str">
            <v>PMP1286178</v>
          </cell>
          <cell r="G743" t="str">
            <v>9438565578</v>
          </cell>
          <cell r="H743" t="str">
            <v xml:space="preserve">  1</v>
          </cell>
          <cell r="I743" t="str">
            <v>FACTURA DE VENTA</v>
          </cell>
          <cell r="J743" t="str">
            <v/>
          </cell>
          <cell r="K743">
            <v>7218326</v>
          </cell>
        </row>
        <row r="744">
          <cell r="F744" t="str">
            <v>PMP1286380</v>
          </cell>
          <cell r="G744" t="str">
            <v>9438583275</v>
          </cell>
          <cell r="H744" t="str">
            <v xml:space="preserve">  1</v>
          </cell>
          <cell r="I744" t="str">
            <v>FACTURA DE VENTA</v>
          </cell>
          <cell r="J744" t="str">
            <v/>
          </cell>
          <cell r="K744">
            <v>3569198.36</v>
          </cell>
        </row>
        <row r="745">
          <cell r="F745" t="str">
            <v>PMP1286463</v>
          </cell>
          <cell r="G745" t="str">
            <v>9438592878</v>
          </cell>
          <cell r="H745" t="str">
            <v xml:space="preserve">  1</v>
          </cell>
          <cell r="I745" t="str">
            <v>FACTURA DE VENTA</v>
          </cell>
          <cell r="J745" t="str">
            <v/>
          </cell>
          <cell r="K745">
            <v>3131775</v>
          </cell>
        </row>
        <row r="746">
          <cell r="F746" t="str">
            <v>PMP1286464</v>
          </cell>
          <cell r="G746" t="str">
            <v>9438592879</v>
          </cell>
          <cell r="H746" t="str">
            <v xml:space="preserve">  1</v>
          </cell>
          <cell r="I746" t="str">
            <v>FACTURA DE VENTA</v>
          </cell>
          <cell r="J746" t="str">
            <v/>
          </cell>
          <cell r="K746">
            <v>2371651</v>
          </cell>
        </row>
        <row r="747">
          <cell r="F747" t="str">
            <v>PMP1286179</v>
          </cell>
          <cell r="G747" t="str">
            <v>9438565579</v>
          </cell>
          <cell r="H747" t="str">
            <v xml:space="preserve">  1</v>
          </cell>
          <cell r="I747" t="str">
            <v>FACTURA DE VENTA</v>
          </cell>
          <cell r="J747" t="str">
            <v/>
          </cell>
          <cell r="K747">
            <v>1913863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39"/>
  <sheetViews>
    <sheetView tabSelected="1" topLeftCell="A41" zoomScale="60" zoomScaleNormal="60" workbookViewId="0">
      <selection sqref="A1:F1"/>
    </sheetView>
  </sheetViews>
  <sheetFormatPr defaultRowHeight="14.4" x14ac:dyDescent="0.3"/>
  <cols>
    <col min="1" max="1" width="23.33203125" customWidth="1"/>
    <col min="2" max="2" width="26.6640625" customWidth="1"/>
    <col min="3" max="3" width="21.6640625" customWidth="1"/>
    <col min="4" max="4" width="20.109375" customWidth="1"/>
    <col min="5" max="6" width="23.109375" customWidth="1"/>
    <col min="7" max="28" width="20" customWidth="1"/>
    <col min="29" max="29" width="44.6640625" customWidth="1"/>
  </cols>
  <sheetData>
    <row r="1" spans="1:29" ht="19.95" customHeight="1" x14ac:dyDescent="0.3">
      <c r="A1" s="10" t="s">
        <v>0</v>
      </c>
      <c r="B1" s="10"/>
      <c r="C1" s="10"/>
      <c r="D1" s="10"/>
      <c r="E1" s="10"/>
      <c r="F1" s="10"/>
      <c r="G1" s="1"/>
      <c r="H1" s="11"/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9.95" customHeight="1" x14ac:dyDescent="0.3">
      <c r="A2" s="12" t="s">
        <v>1</v>
      </c>
      <c r="B2" s="12"/>
      <c r="C2" s="12"/>
      <c r="D2" s="12"/>
      <c r="E2" s="12"/>
      <c r="F2" s="12"/>
      <c r="G2" s="1"/>
      <c r="H2" s="11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95" customHeight="1" x14ac:dyDescent="0.3">
      <c r="A3" s="2" t="s">
        <v>2</v>
      </c>
      <c r="B3" s="3" t="s">
        <v>3</v>
      </c>
      <c r="C3" s="2" t="s">
        <v>4</v>
      </c>
      <c r="D3" s="3" t="s">
        <v>5</v>
      </c>
      <c r="E3" s="2" t="s">
        <v>6</v>
      </c>
      <c r="F3" s="4" t="s">
        <v>7</v>
      </c>
      <c r="G3" s="1"/>
      <c r="H3" s="11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9.95" customHeight="1" x14ac:dyDescent="0.3">
      <c r="A4" s="2" t="s">
        <v>2</v>
      </c>
      <c r="B4" s="13"/>
      <c r="C4" s="13"/>
      <c r="D4" s="13"/>
      <c r="E4" s="2" t="s">
        <v>8</v>
      </c>
      <c r="F4" s="4"/>
      <c r="G4" s="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95" customHeight="1" x14ac:dyDescent="0.3">
      <c r="A5" s="2" t="s">
        <v>9</v>
      </c>
      <c r="B5" s="14" t="s">
        <v>10</v>
      </c>
      <c r="C5" s="14"/>
      <c r="D5" s="14"/>
      <c r="E5" s="14"/>
      <c r="F5" s="14"/>
      <c r="G5" s="1"/>
      <c r="H5" s="11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9.95" customHeight="1" x14ac:dyDescent="0.3">
      <c r="A6" s="12" t="s">
        <v>11</v>
      </c>
      <c r="B6" s="12"/>
      <c r="C6" s="12"/>
      <c r="D6" s="12"/>
      <c r="E6" s="12"/>
      <c r="F6" s="1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9.95" customHeight="1" x14ac:dyDescent="0.3">
      <c r="A7" s="2" t="s">
        <v>12</v>
      </c>
      <c r="B7" s="3"/>
      <c r="C7" s="2" t="s">
        <v>13</v>
      </c>
      <c r="D7" s="3"/>
      <c r="E7" s="2" t="s">
        <v>14</v>
      </c>
      <c r="F7" s="4" t="s">
        <v>15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9.95" customHeight="1" x14ac:dyDescent="0.3">
      <c r="A8" s="5" t="s">
        <v>16</v>
      </c>
      <c r="B8" s="3"/>
      <c r="C8" s="2" t="s">
        <v>17</v>
      </c>
      <c r="D8" s="3"/>
      <c r="E8" s="2" t="s">
        <v>18</v>
      </c>
      <c r="F8" s="4" t="s">
        <v>19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9.95" customHeight="1" x14ac:dyDescent="0.3">
      <c r="A9" s="6" t="s">
        <v>20</v>
      </c>
      <c r="B9" s="3"/>
      <c r="C9" s="2" t="s">
        <v>21</v>
      </c>
      <c r="D9" s="3" t="s">
        <v>22</v>
      </c>
      <c r="E9" s="2" t="s">
        <v>23</v>
      </c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9.95" customHeight="1" x14ac:dyDescent="0.3">
      <c r="A10" s="5" t="s">
        <v>24</v>
      </c>
      <c r="B10" s="3"/>
      <c r="C10" s="2" t="s">
        <v>25</v>
      </c>
      <c r="D10" s="14" t="s">
        <v>7</v>
      </c>
      <c r="E10" s="14"/>
      <c r="F10" s="1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9.95" customHeight="1" x14ac:dyDescent="0.3">
      <c r="A11" s="6" t="s">
        <v>26</v>
      </c>
      <c r="B11" s="3"/>
      <c r="C11" s="2" t="s">
        <v>27</v>
      </c>
      <c r="D11" s="14"/>
      <c r="E11" s="14"/>
      <c r="F11" s="1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4.950000000000003" customHeight="1" x14ac:dyDescent="0.3">
      <c r="A12" s="5" t="s">
        <v>28</v>
      </c>
      <c r="B12" s="3"/>
      <c r="C12" s="2" t="s">
        <v>29</v>
      </c>
      <c r="D12" s="14"/>
      <c r="E12" s="14"/>
      <c r="F12" s="1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9.95" customHeight="1" x14ac:dyDescent="0.3">
      <c r="A13" s="12" t="s">
        <v>11</v>
      </c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9.95" customHeight="1" x14ac:dyDescent="0.3">
      <c r="A14" s="5" t="s">
        <v>30</v>
      </c>
      <c r="B14" s="3"/>
      <c r="C14" s="2" t="s">
        <v>31</v>
      </c>
      <c r="D14" s="14"/>
      <c r="E14" s="14"/>
      <c r="F14" s="14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9.95" customHeight="1" x14ac:dyDescent="0.3">
      <c r="A15" s="6" t="s">
        <v>32</v>
      </c>
      <c r="B15" s="3"/>
      <c r="C15" s="2" t="s">
        <v>33</v>
      </c>
      <c r="D15" s="14"/>
      <c r="E15" s="14"/>
      <c r="F15" s="14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9.95" customHeight="1" x14ac:dyDescent="0.3">
      <c r="A16" s="5" t="s">
        <v>34</v>
      </c>
      <c r="B16" s="3"/>
      <c r="C16" s="2" t="s">
        <v>35</v>
      </c>
      <c r="D16" s="14"/>
      <c r="E16" s="14"/>
      <c r="F16" s="14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9.95" customHeight="1" x14ac:dyDescent="0.3">
      <c r="A17" s="5" t="s">
        <v>36</v>
      </c>
      <c r="B17" s="3"/>
      <c r="C17" s="2" t="s">
        <v>37</v>
      </c>
      <c r="D17" s="14"/>
      <c r="E17" s="14"/>
      <c r="F17" s="14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9.95" customHeight="1" x14ac:dyDescent="0.3">
      <c r="A18" s="5" t="s">
        <v>38</v>
      </c>
      <c r="B18" s="14"/>
      <c r="C18" s="14"/>
      <c r="D18" s="14"/>
      <c r="E18" s="14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9.95" customHeight="1" x14ac:dyDescent="0.3">
      <c r="A19" s="15"/>
      <c r="B19" s="15"/>
      <c r="C19" s="15"/>
      <c r="D19" s="15"/>
      <c r="E19" s="15"/>
      <c r="F19" s="1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9.95" customHeight="1" x14ac:dyDescent="0.3">
      <c r="A20" s="16"/>
      <c r="B20" s="16"/>
      <c r="C20" s="16"/>
      <c r="D20" s="16"/>
      <c r="E20" s="16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" customHeight="1" x14ac:dyDescent="0.3">
      <c r="A21" s="17" t="s">
        <v>39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 t="s">
        <v>40</v>
      </c>
      <c r="X21" s="17"/>
      <c r="Y21" s="17"/>
      <c r="Z21" s="17" t="s">
        <v>41</v>
      </c>
      <c r="AA21" s="17"/>
      <c r="AB21" s="17"/>
      <c r="AC21" s="17"/>
    </row>
    <row r="22" spans="1:29" ht="30" customHeight="1" x14ac:dyDescent="0.3">
      <c r="A22" s="7" t="s">
        <v>42</v>
      </c>
      <c r="B22" s="7" t="s">
        <v>43</v>
      </c>
      <c r="C22" s="7" t="s">
        <v>44</v>
      </c>
      <c r="D22" s="7" t="s">
        <v>45</v>
      </c>
      <c r="E22" s="7" t="s">
        <v>46</v>
      </c>
      <c r="F22" s="7" t="s">
        <v>47</v>
      </c>
      <c r="G22" s="7" t="s">
        <v>48</v>
      </c>
      <c r="H22" s="7" t="s">
        <v>49</v>
      </c>
      <c r="I22" s="7" t="s">
        <v>50</v>
      </c>
      <c r="J22" s="7" t="s">
        <v>51</v>
      </c>
      <c r="K22" s="7" t="s">
        <v>52</v>
      </c>
      <c r="L22" s="7" t="s">
        <v>53</v>
      </c>
      <c r="M22" s="7" t="s">
        <v>54</v>
      </c>
      <c r="N22" s="7" t="s">
        <v>55</v>
      </c>
      <c r="O22" s="7" t="s">
        <v>56</v>
      </c>
      <c r="P22" s="7" t="s">
        <v>57</v>
      </c>
      <c r="Q22" s="7" t="s">
        <v>58</v>
      </c>
      <c r="R22" s="7" t="s">
        <v>40</v>
      </c>
      <c r="S22" s="7" t="s">
        <v>59</v>
      </c>
      <c r="T22" s="7" t="s">
        <v>60</v>
      </c>
      <c r="U22" s="7" t="s">
        <v>61</v>
      </c>
      <c r="V22" s="7" t="s">
        <v>62</v>
      </c>
      <c r="W22" s="7" t="s">
        <v>63</v>
      </c>
      <c r="X22" s="7" t="s">
        <v>64</v>
      </c>
      <c r="Y22" s="7" t="s">
        <v>65</v>
      </c>
      <c r="Z22" s="7" t="s">
        <v>66</v>
      </c>
      <c r="AA22" s="7" t="s">
        <v>67</v>
      </c>
      <c r="AB22" s="7" t="s">
        <v>68</v>
      </c>
      <c r="AC22" s="7" t="s">
        <v>69</v>
      </c>
    </row>
    <row r="23" spans="1:29" ht="30" customHeight="1" x14ac:dyDescent="0.3">
      <c r="A23" s="8" t="s">
        <v>70</v>
      </c>
      <c r="B23" s="8"/>
      <c r="C23" s="8" t="s">
        <v>71</v>
      </c>
      <c r="D23" s="8" t="s">
        <v>72</v>
      </c>
      <c r="E23" s="8" t="s">
        <v>73</v>
      </c>
      <c r="F23" s="8"/>
      <c r="G23" s="8"/>
      <c r="H23" s="8"/>
      <c r="I23" s="8" t="s">
        <v>74</v>
      </c>
      <c r="J23" s="8" t="s">
        <v>74</v>
      </c>
      <c r="K23" s="8"/>
      <c r="L23" s="8"/>
      <c r="M23" s="8"/>
      <c r="N23" s="8" t="s">
        <v>75</v>
      </c>
      <c r="O23" s="8" t="s">
        <v>75</v>
      </c>
      <c r="P23" s="8" t="s">
        <v>76</v>
      </c>
      <c r="Q23" s="8" t="s">
        <v>76</v>
      </c>
      <c r="R23" s="8" t="s">
        <v>76</v>
      </c>
      <c r="S23" s="8" t="s">
        <v>76</v>
      </c>
      <c r="T23" s="8" t="s">
        <v>76</v>
      </c>
      <c r="U23" s="8" t="s">
        <v>76</v>
      </c>
      <c r="V23" s="8" t="s">
        <v>76</v>
      </c>
      <c r="W23" s="8" t="s">
        <v>76</v>
      </c>
      <c r="X23" s="8" t="s">
        <v>76</v>
      </c>
      <c r="Y23" s="8" t="s">
        <v>76</v>
      </c>
      <c r="Z23" s="8"/>
      <c r="AA23" s="8"/>
      <c r="AB23" s="8" t="s">
        <v>76</v>
      </c>
      <c r="AC23" s="8"/>
    </row>
    <row r="24" spans="1:29" ht="30" customHeight="1" x14ac:dyDescent="0.3">
      <c r="A24" s="8" t="s">
        <v>70</v>
      </c>
      <c r="B24" s="8"/>
      <c r="C24" s="8" t="s">
        <v>77</v>
      </c>
      <c r="D24" s="8" t="s">
        <v>78</v>
      </c>
      <c r="E24" s="8" t="s">
        <v>73</v>
      </c>
      <c r="F24" s="8"/>
      <c r="G24" s="8"/>
      <c r="H24" s="8"/>
      <c r="I24" s="8" t="s">
        <v>74</v>
      </c>
      <c r="J24" s="8" t="s">
        <v>74</v>
      </c>
      <c r="K24" s="8"/>
      <c r="L24" s="8"/>
      <c r="M24" s="8"/>
      <c r="N24" s="8" t="s">
        <v>79</v>
      </c>
      <c r="O24" s="8" t="s">
        <v>79</v>
      </c>
      <c r="P24" s="8" t="s">
        <v>76</v>
      </c>
      <c r="Q24" s="8" t="s">
        <v>76</v>
      </c>
      <c r="R24" s="8" t="s">
        <v>76</v>
      </c>
      <c r="S24" s="8" t="s">
        <v>76</v>
      </c>
      <c r="T24" s="8" t="s">
        <v>76</v>
      </c>
      <c r="U24" s="8" t="s">
        <v>76</v>
      </c>
      <c r="V24" s="8" t="s">
        <v>76</v>
      </c>
      <c r="W24" s="8" t="s">
        <v>76</v>
      </c>
      <c r="X24" s="8" t="s">
        <v>76</v>
      </c>
      <c r="Y24" s="8" t="s">
        <v>76</v>
      </c>
      <c r="Z24" s="8"/>
      <c r="AA24" s="8"/>
      <c r="AB24" s="8" t="s">
        <v>76</v>
      </c>
      <c r="AC24" s="8"/>
    </row>
    <row r="25" spans="1:29" ht="30" customHeight="1" x14ac:dyDescent="0.3">
      <c r="A25" s="8" t="s">
        <v>70</v>
      </c>
      <c r="B25" s="8"/>
      <c r="C25" s="8" t="s">
        <v>80</v>
      </c>
      <c r="D25" s="8" t="s">
        <v>81</v>
      </c>
      <c r="E25" s="8" t="s">
        <v>73</v>
      </c>
      <c r="F25" s="8"/>
      <c r="G25" s="8"/>
      <c r="H25" s="8"/>
      <c r="I25" s="8" t="s">
        <v>74</v>
      </c>
      <c r="J25" s="8" t="s">
        <v>74</v>
      </c>
      <c r="K25" s="8"/>
      <c r="L25" s="8"/>
      <c r="M25" s="8"/>
      <c r="N25" s="8" t="s">
        <v>82</v>
      </c>
      <c r="O25" s="8" t="s">
        <v>82</v>
      </c>
      <c r="P25" s="8" t="s">
        <v>76</v>
      </c>
      <c r="Q25" s="8" t="s">
        <v>76</v>
      </c>
      <c r="R25" s="8" t="s">
        <v>76</v>
      </c>
      <c r="S25" s="8" t="s">
        <v>76</v>
      </c>
      <c r="T25" s="8" t="s">
        <v>76</v>
      </c>
      <c r="U25" s="8" t="s">
        <v>76</v>
      </c>
      <c r="V25" s="8" t="s">
        <v>76</v>
      </c>
      <c r="W25" s="8" t="s">
        <v>76</v>
      </c>
      <c r="X25" s="8" t="s">
        <v>76</v>
      </c>
      <c r="Y25" s="8" t="s">
        <v>76</v>
      </c>
      <c r="Z25" s="8"/>
      <c r="AA25" s="8"/>
      <c r="AB25" s="8" t="s">
        <v>76</v>
      </c>
      <c r="AC25" s="8"/>
    </row>
    <row r="26" spans="1:29" ht="30" customHeight="1" x14ac:dyDescent="0.3">
      <c r="A26" s="8" t="s">
        <v>70</v>
      </c>
      <c r="B26" s="8"/>
      <c r="C26" s="8" t="s">
        <v>83</v>
      </c>
      <c r="D26" s="8" t="s">
        <v>84</v>
      </c>
      <c r="E26" s="8" t="s">
        <v>73</v>
      </c>
      <c r="F26" s="8"/>
      <c r="G26" s="8"/>
      <c r="H26" s="8"/>
      <c r="I26" s="8" t="s">
        <v>74</v>
      </c>
      <c r="J26" s="8" t="s">
        <v>74</v>
      </c>
      <c r="K26" s="8"/>
      <c r="L26" s="8"/>
      <c r="M26" s="8"/>
      <c r="N26" s="8" t="s">
        <v>85</v>
      </c>
      <c r="O26" s="8" t="s">
        <v>85</v>
      </c>
      <c r="P26" s="8" t="s">
        <v>76</v>
      </c>
      <c r="Q26" s="8" t="s">
        <v>76</v>
      </c>
      <c r="R26" s="8" t="s">
        <v>76</v>
      </c>
      <c r="S26" s="8" t="s">
        <v>76</v>
      </c>
      <c r="T26" s="8" t="s">
        <v>76</v>
      </c>
      <c r="U26" s="8" t="s">
        <v>76</v>
      </c>
      <c r="V26" s="8" t="s">
        <v>76</v>
      </c>
      <c r="W26" s="8" t="s">
        <v>76</v>
      </c>
      <c r="X26" s="8" t="s">
        <v>76</v>
      </c>
      <c r="Y26" s="8" t="s">
        <v>76</v>
      </c>
      <c r="Z26" s="8"/>
      <c r="AA26" s="8"/>
      <c r="AB26" s="8" t="s">
        <v>76</v>
      </c>
      <c r="AC26" s="8"/>
    </row>
    <row r="27" spans="1:29" ht="30" customHeight="1" x14ac:dyDescent="0.3">
      <c r="A27" s="8" t="s">
        <v>70</v>
      </c>
      <c r="B27" s="8"/>
      <c r="C27" s="8" t="s">
        <v>86</v>
      </c>
      <c r="D27" s="8" t="s">
        <v>87</v>
      </c>
      <c r="E27" s="8" t="s">
        <v>73</v>
      </c>
      <c r="F27" s="8"/>
      <c r="G27" s="8"/>
      <c r="H27" s="8"/>
      <c r="I27" s="8" t="s">
        <v>74</v>
      </c>
      <c r="J27" s="8" t="s">
        <v>74</v>
      </c>
      <c r="K27" s="8"/>
      <c r="L27" s="8"/>
      <c r="M27" s="8"/>
      <c r="N27" s="8" t="s">
        <v>88</v>
      </c>
      <c r="O27" s="8" t="s">
        <v>88</v>
      </c>
      <c r="P27" s="8" t="s">
        <v>76</v>
      </c>
      <c r="Q27" s="8" t="s">
        <v>76</v>
      </c>
      <c r="R27" s="8" t="s">
        <v>76</v>
      </c>
      <c r="S27" s="8" t="s">
        <v>76</v>
      </c>
      <c r="T27" s="8" t="s">
        <v>76</v>
      </c>
      <c r="U27" s="8" t="s">
        <v>76</v>
      </c>
      <c r="V27" s="8" t="s">
        <v>76</v>
      </c>
      <c r="W27" s="8" t="s">
        <v>76</v>
      </c>
      <c r="X27" s="8" t="s">
        <v>76</v>
      </c>
      <c r="Y27" s="8" t="s">
        <v>76</v>
      </c>
      <c r="Z27" s="8"/>
      <c r="AA27" s="8"/>
      <c r="AB27" s="8" t="s">
        <v>76</v>
      </c>
      <c r="AC27" s="8"/>
    </row>
    <row r="28" spans="1:29" ht="30" customHeight="1" x14ac:dyDescent="0.3">
      <c r="A28" s="8" t="s">
        <v>70</v>
      </c>
      <c r="B28" s="8"/>
      <c r="C28" s="8" t="s">
        <v>89</v>
      </c>
      <c r="D28" s="8" t="s">
        <v>90</v>
      </c>
      <c r="E28" s="8" t="s">
        <v>73</v>
      </c>
      <c r="F28" s="8"/>
      <c r="G28" s="8"/>
      <c r="H28" s="8"/>
      <c r="I28" s="8" t="s">
        <v>74</v>
      </c>
      <c r="J28" s="8" t="s">
        <v>74</v>
      </c>
      <c r="K28" s="8"/>
      <c r="L28" s="8"/>
      <c r="M28" s="8"/>
      <c r="N28" s="8" t="s">
        <v>91</v>
      </c>
      <c r="O28" s="8" t="s">
        <v>91</v>
      </c>
      <c r="P28" s="8" t="s">
        <v>76</v>
      </c>
      <c r="Q28" s="8" t="s">
        <v>76</v>
      </c>
      <c r="R28" s="8" t="s">
        <v>76</v>
      </c>
      <c r="S28" s="8" t="s">
        <v>76</v>
      </c>
      <c r="T28" s="8" t="s">
        <v>76</v>
      </c>
      <c r="U28" s="8" t="s">
        <v>76</v>
      </c>
      <c r="V28" s="8" t="s">
        <v>76</v>
      </c>
      <c r="W28" s="8" t="s">
        <v>76</v>
      </c>
      <c r="X28" s="8" t="s">
        <v>76</v>
      </c>
      <c r="Y28" s="8" t="s">
        <v>76</v>
      </c>
      <c r="Z28" s="8"/>
      <c r="AA28" s="8"/>
      <c r="AB28" s="8" t="s">
        <v>76</v>
      </c>
      <c r="AC28" s="8"/>
    </row>
    <row r="29" spans="1:29" ht="30" customHeight="1" x14ac:dyDescent="0.3">
      <c r="A29" s="8" t="s">
        <v>70</v>
      </c>
      <c r="B29" s="8"/>
      <c r="C29" s="8" t="s">
        <v>92</v>
      </c>
      <c r="D29" s="8" t="s">
        <v>93</v>
      </c>
      <c r="E29" s="8" t="s">
        <v>73</v>
      </c>
      <c r="F29" s="8"/>
      <c r="G29" s="8"/>
      <c r="H29" s="8"/>
      <c r="I29" s="8" t="s">
        <v>74</v>
      </c>
      <c r="J29" s="8" t="s">
        <v>74</v>
      </c>
      <c r="K29" s="8"/>
      <c r="L29" s="8"/>
      <c r="M29" s="8"/>
      <c r="N29" s="8" t="s">
        <v>94</v>
      </c>
      <c r="O29" s="8" t="s">
        <v>94</v>
      </c>
      <c r="P29" s="8" t="s">
        <v>76</v>
      </c>
      <c r="Q29" s="8" t="s">
        <v>76</v>
      </c>
      <c r="R29" s="8" t="s">
        <v>76</v>
      </c>
      <c r="S29" s="8" t="s">
        <v>76</v>
      </c>
      <c r="T29" s="8" t="s">
        <v>76</v>
      </c>
      <c r="U29" s="8" t="s">
        <v>76</v>
      </c>
      <c r="V29" s="8" t="s">
        <v>76</v>
      </c>
      <c r="W29" s="8" t="s">
        <v>76</v>
      </c>
      <c r="X29" s="8" t="s">
        <v>76</v>
      </c>
      <c r="Y29" s="8" t="s">
        <v>76</v>
      </c>
      <c r="Z29" s="8"/>
      <c r="AA29" s="8"/>
      <c r="AB29" s="8" t="s">
        <v>76</v>
      </c>
      <c r="AC29" s="8"/>
    </row>
    <row r="30" spans="1:29" ht="30" customHeight="1" x14ac:dyDescent="0.3">
      <c r="A30" s="8" t="s">
        <v>70</v>
      </c>
      <c r="B30" s="8"/>
      <c r="C30" s="8" t="s">
        <v>95</v>
      </c>
      <c r="D30" s="8" t="s">
        <v>96</v>
      </c>
      <c r="E30" s="8" t="s">
        <v>73</v>
      </c>
      <c r="F30" s="8"/>
      <c r="G30" s="8"/>
      <c r="H30" s="8"/>
      <c r="I30" s="8" t="s">
        <v>74</v>
      </c>
      <c r="J30" s="8" t="s">
        <v>74</v>
      </c>
      <c r="K30" s="8"/>
      <c r="L30" s="8"/>
      <c r="M30" s="8"/>
      <c r="N30" s="8" t="s">
        <v>97</v>
      </c>
      <c r="O30" s="8" t="s">
        <v>97</v>
      </c>
      <c r="P30" s="8" t="s">
        <v>76</v>
      </c>
      <c r="Q30" s="8" t="s">
        <v>76</v>
      </c>
      <c r="R30" s="8" t="s">
        <v>76</v>
      </c>
      <c r="S30" s="8" t="s">
        <v>76</v>
      </c>
      <c r="T30" s="8" t="s">
        <v>76</v>
      </c>
      <c r="U30" s="8" t="s">
        <v>76</v>
      </c>
      <c r="V30" s="8" t="s">
        <v>76</v>
      </c>
      <c r="W30" s="8" t="s">
        <v>76</v>
      </c>
      <c r="X30" s="8" t="s">
        <v>76</v>
      </c>
      <c r="Y30" s="8" t="s">
        <v>76</v>
      </c>
      <c r="Z30" s="8"/>
      <c r="AA30" s="8"/>
      <c r="AB30" s="8" t="s">
        <v>76</v>
      </c>
      <c r="AC30" s="8"/>
    </row>
    <row r="31" spans="1:29" ht="30" customHeight="1" x14ac:dyDescent="0.3">
      <c r="A31" s="8" t="s">
        <v>70</v>
      </c>
      <c r="B31" s="8"/>
      <c r="C31" s="8" t="s">
        <v>98</v>
      </c>
      <c r="D31" s="8" t="s">
        <v>99</v>
      </c>
      <c r="E31" s="8" t="s">
        <v>73</v>
      </c>
      <c r="F31" s="8"/>
      <c r="G31" s="8"/>
      <c r="H31" s="8"/>
      <c r="I31" s="8" t="s">
        <v>74</v>
      </c>
      <c r="J31" s="8" t="s">
        <v>74</v>
      </c>
      <c r="K31" s="8"/>
      <c r="L31" s="8"/>
      <c r="M31" s="8"/>
      <c r="N31" s="8" t="s">
        <v>100</v>
      </c>
      <c r="O31" s="8" t="s">
        <v>100</v>
      </c>
      <c r="P31" s="8" t="s">
        <v>76</v>
      </c>
      <c r="Q31" s="8" t="s">
        <v>76</v>
      </c>
      <c r="R31" s="8" t="s">
        <v>76</v>
      </c>
      <c r="S31" s="8" t="s">
        <v>76</v>
      </c>
      <c r="T31" s="8" t="s">
        <v>76</v>
      </c>
      <c r="U31" s="8" t="s">
        <v>76</v>
      </c>
      <c r="V31" s="8" t="s">
        <v>76</v>
      </c>
      <c r="W31" s="8" t="s">
        <v>76</v>
      </c>
      <c r="X31" s="8" t="s">
        <v>76</v>
      </c>
      <c r="Y31" s="8" t="s">
        <v>76</v>
      </c>
      <c r="Z31" s="8"/>
      <c r="AA31" s="8"/>
      <c r="AB31" s="8" t="s">
        <v>76</v>
      </c>
      <c r="AC31" s="8"/>
    </row>
    <row r="32" spans="1:29" ht="30" customHeight="1" x14ac:dyDescent="0.3">
      <c r="A32" s="8" t="s">
        <v>70</v>
      </c>
      <c r="B32" s="8"/>
      <c r="C32" s="8" t="s">
        <v>101</v>
      </c>
      <c r="D32" s="8" t="s">
        <v>102</v>
      </c>
      <c r="E32" s="8" t="s">
        <v>73</v>
      </c>
      <c r="F32" s="8"/>
      <c r="G32" s="8"/>
      <c r="H32" s="8"/>
      <c r="I32" s="8" t="s">
        <v>74</v>
      </c>
      <c r="J32" s="8" t="s">
        <v>74</v>
      </c>
      <c r="K32" s="8"/>
      <c r="L32" s="8"/>
      <c r="M32" s="8"/>
      <c r="N32" s="8" t="s">
        <v>103</v>
      </c>
      <c r="O32" s="8" t="s">
        <v>103</v>
      </c>
      <c r="P32" s="8" t="s">
        <v>76</v>
      </c>
      <c r="Q32" s="8" t="s">
        <v>76</v>
      </c>
      <c r="R32" s="8" t="s">
        <v>76</v>
      </c>
      <c r="S32" s="8" t="s">
        <v>76</v>
      </c>
      <c r="T32" s="8" t="s">
        <v>76</v>
      </c>
      <c r="U32" s="8" t="s">
        <v>76</v>
      </c>
      <c r="V32" s="8" t="s">
        <v>76</v>
      </c>
      <c r="W32" s="8" t="s">
        <v>76</v>
      </c>
      <c r="X32" s="8" t="s">
        <v>76</v>
      </c>
      <c r="Y32" s="8" t="s">
        <v>76</v>
      </c>
      <c r="Z32" s="8"/>
      <c r="AA32" s="8"/>
      <c r="AB32" s="8" t="s">
        <v>76</v>
      </c>
      <c r="AC32" s="8"/>
    </row>
    <row r="33" spans="1:29" ht="30" customHeight="1" x14ac:dyDescent="0.3">
      <c r="A33" s="8" t="s">
        <v>70</v>
      </c>
      <c r="B33" s="8"/>
      <c r="C33" s="8" t="s">
        <v>104</v>
      </c>
      <c r="D33" s="8" t="s">
        <v>105</v>
      </c>
      <c r="E33" s="8" t="s">
        <v>73</v>
      </c>
      <c r="F33" s="8"/>
      <c r="G33" s="8"/>
      <c r="H33" s="8"/>
      <c r="I33" s="8" t="s">
        <v>74</v>
      </c>
      <c r="J33" s="8" t="s">
        <v>74</v>
      </c>
      <c r="K33" s="8"/>
      <c r="L33" s="8"/>
      <c r="M33" s="8"/>
      <c r="N33" s="8" t="s">
        <v>106</v>
      </c>
      <c r="O33" s="8" t="s">
        <v>106</v>
      </c>
      <c r="P33" s="8" t="s">
        <v>76</v>
      </c>
      <c r="Q33" s="8" t="s">
        <v>76</v>
      </c>
      <c r="R33" s="8" t="s">
        <v>76</v>
      </c>
      <c r="S33" s="8" t="s">
        <v>76</v>
      </c>
      <c r="T33" s="8" t="s">
        <v>76</v>
      </c>
      <c r="U33" s="8" t="s">
        <v>76</v>
      </c>
      <c r="V33" s="8" t="s">
        <v>76</v>
      </c>
      <c r="W33" s="8" t="s">
        <v>76</v>
      </c>
      <c r="X33" s="8" t="s">
        <v>76</v>
      </c>
      <c r="Y33" s="8" t="s">
        <v>76</v>
      </c>
      <c r="Z33" s="8"/>
      <c r="AA33" s="8"/>
      <c r="AB33" s="8" t="s">
        <v>76</v>
      </c>
      <c r="AC33" s="8"/>
    </row>
    <row r="34" spans="1:29" ht="30" customHeight="1" x14ac:dyDescent="0.3">
      <c r="A34" s="8" t="s">
        <v>70</v>
      </c>
      <c r="B34" s="8"/>
      <c r="C34" s="8" t="s">
        <v>107</v>
      </c>
      <c r="D34" s="8" t="s">
        <v>108</v>
      </c>
      <c r="E34" s="8" t="s">
        <v>73</v>
      </c>
      <c r="F34" s="8"/>
      <c r="G34" s="8"/>
      <c r="H34" s="8"/>
      <c r="I34" s="8" t="s">
        <v>74</v>
      </c>
      <c r="J34" s="8" t="s">
        <v>74</v>
      </c>
      <c r="K34" s="8"/>
      <c r="L34" s="8"/>
      <c r="M34" s="8"/>
      <c r="N34" s="8" t="s">
        <v>109</v>
      </c>
      <c r="O34" s="8" t="s">
        <v>109</v>
      </c>
      <c r="P34" s="8" t="s">
        <v>76</v>
      </c>
      <c r="Q34" s="8" t="s">
        <v>76</v>
      </c>
      <c r="R34" s="8" t="s">
        <v>76</v>
      </c>
      <c r="S34" s="8" t="s">
        <v>76</v>
      </c>
      <c r="T34" s="8" t="s">
        <v>76</v>
      </c>
      <c r="U34" s="8" t="s">
        <v>76</v>
      </c>
      <c r="V34" s="8" t="s">
        <v>76</v>
      </c>
      <c r="W34" s="8" t="s">
        <v>76</v>
      </c>
      <c r="X34" s="8" t="s">
        <v>76</v>
      </c>
      <c r="Y34" s="8" t="s">
        <v>76</v>
      </c>
      <c r="Z34" s="8"/>
      <c r="AA34" s="8"/>
      <c r="AB34" s="8" t="s">
        <v>76</v>
      </c>
      <c r="AC34" s="8"/>
    </row>
    <row r="35" spans="1:29" ht="30" customHeight="1" x14ac:dyDescent="0.3">
      <c r="A35" s="8" t="s">
        <v>70</v>
      </c>
      <c r="B35" s="8"/>
      <c r="C35" s="8" t="s">
        <v>110</v>
      </c>
      <c r="D35" s="8" t="s">
        <v>111</v>
      </c>
      <c r="E35" s="8" t="s">
        <v>73</v>
      </c>
      <c r="F35" s="8"/>
      <c r="G35" s="8"/>
      <c r="H35" s="8"/>
      <c r="I35" s="8" t="s">
        <v>74</v>
      </c>
      <c r="J35" s="8" t="s">
        <v>74</v>
      </c>
      <c r="K35" s="8"/>
      <c r="L35" s="8"/>
      <c r="M35" s="8"/>
      <c r="N35" s="8" t="s">
        <v>112</v>
      </c>
      <c r="O35" s="8" t="s">
        <v>112</v>
      </c>
      <c r="P35" s="8" t="s">
        <v>76</v>
      </c>
      <c r="Q35" s="8" t="s">
        <v>76</v>
      </c>
      <c r="R35" s="8" t="s">
        <v>76</v>
      </c>
      <c r="S35" s="8" t="s">
        <v>76</v>
      </c>
      <c r="T35" s="8" t="s">
        <v>76</v>
      </c>
      <c r="U35" s="8" t="s">
        <v>76</v>
      </c>
      <c r="V35" s="8" t="s">
        <v>76</v>
      </c>
      <c r="W35" s="8" t="s">
        <v>76</v>
      </c>
      <c r="X35" s="8" t="s">
        <v>76</v>
      </c>
      <c r="Y35" s="8" t="s">
        <v>76</v>
      </c>
      <c r="Z35" s="8"/>
      <c r="AA35" s="8"/>
      <c r="AB35" s="8" t="s">
        <v>76</v>
      </c>
      <c r="AC35" s="8"/>
    </row>
    <row r="36" spans="1:29" ht="30" customHeight="1" x14ac:dyDescent="0.3">
      <c r="A36" s="8" t="s">
        <v>70</v>
      </c>
      <c r="B36" s="8"/>
      <c r="C36" s="8" t="s">
        <v>113</v>
      </c>
      <c r="D36" s="8" t="s">
        <v>114</v>
      </c>
      <c r="E36" s="8" t="s">
        <v>73</v>
      </c>
      <c r="F36" s="8"/>
      <c r="G36" s="8"/>
      <c r="H36" s="8"/>
      <c r="I36" s="8" t="s">
        <v>74</v>
      </c>
      <c r="J36" s="8" t="s">
        <v>74</v>
      </c>
      <c r="K36" s="8"/>
      <c r="L36" s="8"/>
      <c r="M36" s="8"/>
      <c r="N36" s="8" t="s">
        <v>115</v>
      </c>
      <c r="O36" s="8" t="s">
        <v>115</v>
      </c>
      <c r="P36" s="8" t="s">
        <v>76</v>
      </c>
      <c r="Q36" s="8" t="s">
        <v>76</v>
      </c>
      <c r="R36" s="8" t="s">
        <v>76</v>
      </c>
      <c r="S36" s="8" t="s">
        <v>76</v>
      </c>
      <c r="T36" s="8" t="s">
        <v>76</v>
      </c>
      <c r="U36" s="8" t="s">
        <v>76</v>
      </c>
      <c r="V36" s="8" t="s">
        <v>76</v>
      </c>
      <c r="W36" s="8" t="s">
        <v>76</v>
      </c>
      <c r="X36" s="8" t="s">
        <v>76</v>
      </c>
      <c r="Y36" s="8" t="s">
        <v>76</v>
      </c>
      <c r="Z36" s="8"/>
      <c r="AA36" s="8"/>
      <c r="AB36" s="8" t="s">
        <v>76</v>
      </c>
      <c r="AC36" s="8"/>
    </row>
    <row r="37" spans="1:29" ht="30" customHeight="1" x14ac:dyDescent="0.3">
      <c r="A37" s="8" t="s">
        <v>70</v>
      </c>
      <c r="B37" s="8"/>
      <c r="C37" s="8" t="s">
        <v>116</v>
      </c>
      <c r="D37" s="8" t="s">
        <v>117</v>
      </c>
      <c r="E37" s="8" t="s">
        <v>73</v>
      </c>
      <c r="F37" s="8"/>
      <c r="G37" s="8"/>
      <c r="H37" s="8"/>
      <c r="I37" s="8" t="s">
        <v>74</v>
      </c>
      <c r="J37" s="8" t="s">
        <v>74</v>
      </c>
      <c r="K37" s="8"/>
      <c r="L37" s="8"/>
      <c r="M37" s="8"/>
      <c r="N37" s="8" t="s">
        <v>118</v>
      </c>
      <c r="O37" s="8" t="s">
        <v>118</v>
      </c>
      <c r="P37" s="8" t="s">
        <v>76</v>
      </c>
      <c r="Q37" s="8" t="s">
        <v>76</v>
      </c>
      <c r="R37" s="8" t="s">
        <v>76</v>
      </c>
      <c r="S37" s="8" t="s">
        <v>76</v>
      </c>
      <c r="T37" s="8" t="s">
        <v>76</v>
      </c>
      <c r="U37" s="8" t="s">
        <v>76</v>
      </c>
      <c r="V37" s="8" t="s">
        <v>76</v>
      </c>
      <c r="W37" s="8" t="s">
        <v>76</v>
      </c>
      <c r="X37" s="8" t="s">
        <v>76</v>
      </c>
      <c r="Y37" s="8" t="s">
        <v>76</v>
      </c>
      <c r="Z37" s="8"/>
      <c r="AA37" s="8"/>
      <c r="AB37" s="8" t="s">
        <v>76</v>
      </c>
      <c r="AC37" s="8"/>
    </row>
    <row r="38" spans="1:29" ht="30" customHeight="1" x14ac:dyDescent="0.3">
      <c r="A38" s="8" t="s">
        <v>70</v>
      </c>
      <c r="B38" s="8"/>
      <c r="C38" s="8" t="s">
        <v>119</v>
      </c>
      <c r="D38" s="8" t="s">
        <v>120</v>
      </c>
      <c r="E38" s="8" t="s">
        <v>73</v>
      </c>
      <c r="F38" s="8"/>
      <c r="G38" s="8"/>
      <c r="H38" s="8"/>
      <c r="I38" s="8" t="s">
        <v>74</v>
      </c>
      <c r="J38" s="8" t="s">
        <v>74</v>
      </c>
      <c r="K38" s="8"/>
      <c r="L38" s="8"/>
      <c r="M38" s="8"/>
      <c r="N38" s="8" t="s">
        <v>121</v>
      </c>
      <c r="O38" s="8" t="s">
        <v>121</v>
      </c>
      <c r="P38" s="8" t="s">
        <v>76</v>
      </c>
      <c r="Q38" s="8" t="s">
        <v>76</v>
      </c>
      <c r="R38" s="8" t="s">
        <v>76</v>
      </c>
      <c r="S38" s="8" t="s">
        <v>76</v>
      </c>
      <c r="T38" s="8" t="s">
        <v>76</v>
      </c>
      <c r="U38" s="8" t="s">
        <v>76</v>
      </c>
      <c r="V38" s="8" t="s">
        <v>76</v>
      </c>
      <c r="W38" s="8" t="s">
        <v>76</v>
      </c>
      <c r="X38" s="8" t="s">
        <v>76</v>
      </c>
      <c r="Y38" s="8" t="s">
        <v>76</v>
      </c>
      <c r="Z38" s="8"/>
      <c r="AA38" s="8"/>
      <c r="AB38" s="8" t="s">
        <v>76</v>
      </c>
      <c r="AC38" s="8"/>
    </row>
    <row r="39" spans="1:29" ht="30" customHeight="1" x14ac:dyDescent="0.3">
      <c r="A39" s="8" t="s">
        <v>70</v>
      </c>
      <c r="B39" s="8"/>
      <c r="C39" s="8" t="s">
        <v>122</v>
      </c>
      <c r="D39" s="8" t="s">
        <v>123</v>
      </c>
      <c r="E39" s="8" t="s">
        <v>73</v>
      </c>
      <c r="F39" s="8"/>
      <c r="G39" s="8"/>
      <c r="H39" s="8"/>
      <c r="I39" s="8" t="s">
        <v>74</v>
      </c>
      <c r="J39" s="8" t="s">
        <v>74</v>
      </c>
      <c r="K39" s="8"/>
      <c r="L39" s="8"/>
      <c r="M39" s="8"/>
      <c r="N39" s="8" t="s">
        <v>124</v>
      </c>
      <c r="O39" s="8" t="s">
        <v>124</v>
      </c>
      <c r="P39" s="8" t="s">
        <v>76</v>
      </c>
      <c r="Q39" s="8" t="s">
        <v>76</v>
      </c>
      <c r="R39" s="8" t="s">
        <v>76</v>
      </c>
      <c r="S39" s="8" t="s">
        <v>76</v>
      </c>
      <c r="T39" s="8" t="s">
        <v>76</v>
      </c>
      <c r="U39" s="8" t="s">
        <v>76</v>
      </c>
      <c r="V39" s="8" t="s">
        <v>76</v>
      </c>
      <c r="W39" s="8" t="s">
        <v>76</v>
      </c>
      <c r="X39" s="8" t="s">
        <v>76</v>
      </c>
      <c r="Y39" s="8" t="s">
        <v>76</v>
      </c>
      <c r="Z39" s="8"/>
      <c r="AA39" s="8"/>
      <c r="AB39" s="8" t="s">
        <v>76</v>
      </c>
      <c r="AC39" s="8"/>
    </row>
    <row r="40" spans="1:29" ht="30" customHeight="1" x14ac:dyDescent="0.3">
      <c r="A40" s="8" t="s">
        <v>70</v>
      </c>
      <c r="B40" s="8"/>
      <c r="C40" s="8" t="s">
        <v>125</v>
      </c>
      <c r="D40" s="8" t="s">
        <v>126</v>
      </c>
      <c r="E40" s="8" t="s">
        <v>127</v>
      </c>
      <c r="F40" s="8"/>
      <c r="G40" s="8"/>
      <c r="H40" s="8"/>
      <c r="I40" s="8" t="s">
        <v>74</v>
      </c>
      <c r="J40" s="8" t="s">
        <v>74</v>
      </c>
      <c r="K40" s="8"/>
      <c r="L40" s="8"/>
      <c r="M40" s="8"/>
      <c r="N40" s="8" t="s">
        <v>128</v>
      </c>
      <c r="O40" s="8" t="s">
        <v>128</v>
      </c>
      <c r="P40" s="8" t="s">
        <v>76</v>
      </c>
      <c r="Q40" s="8" t="s">
        <v>76</v>
      </c>
      <c r="R40" s="8" t="s">
        <v>76</v>
      </c>
      <c r="S40" s="8" t="s">
        <v>76</v>
      </c>
      <c r="T40" s="8" t="s">
        <v>76</v>
      </c>
      <c r="U40" s="8" t="s">
        <v>76</v>
      </c>
      <c r="V40" s="8" t="s">
        <v>76</v>
      </c>
      <c r="W40" s="8" t="s">
        <v>76</v>
      </c>
      <c r="X40" s="8" t="s">
        <v>76</v>
      </c>
      <c r="Y40" s="8" t="s">
        <v>76</v>
      </c>
      <c r="Z40" s="8"/>
      <c r="AA40" s="8"/>
      <c r="AB40" s="8" t="s">
        <v>76</v>
      </c>
      <c r="AC40" s="8"/>
    </row>
    <row r="41" spans="1:29" ht="30" customHeight="1" x14ac:dyDescent="0.3">
      <c r="A41" s="8" t="s">
        <v>70</v>
      </c>
      <c r="B41" s="8"/>
      <c r="C41" s="8" t="s">
        <v>129</v>
      </c>
      <c r="D41" s="8" t="s">
        <v>130</v>
      </c>
      <c r="E41" s="8" t="s">
        <v>131</v>
      </c>
      <c r="F41" s="8"/>
      <c r="G41" s="8"/>
      <c r="H41" s="8"/>
      <c r="I41" s="8" t="s">
        <v>74</v>
      </c>
      <c r="J41" s="8" t="s">
        <v>74</v>
      </c>
      <c r="K41" s="8"/>
      <c r="L41" s="8"/>
      <c r="M41" s="8"/>
      <c r="N41" s="8" t="s">
        <v>132</v>
      </c>
      <c r="O41" s="8" t="s">
        <v>132</v>
      </c>
      <c r="P41" s="8" t="s">
        <v>76</v>
      </c>
      <c r="Q41" s="8" t="s">
        <v>76</v>
      </c>
      <c r="R41" s="8" t="s">
        <v>76</v>
      </c>
      <c r="S41" s="8" t="s">
        <v>76</v>
      </c>
      <c r="T41" s="8" t="s">
        <v>76</v>
      </c>
      <c r="U41" s="8" t="s">
        <v>76</v>
      </c>
      <c r="V41" s="8" t="s">
        <v>76</v>
      </c>
      <c r="W41" s="8" t="s">
        <v>76</v>
      </c>
      <c r="X41" s="8" t="s">
        <v>76</v>
      </c>
      <c r="Y41" s="8" t="s">
        <v>76</v>
      </c>
      <c r="Z41" s="8"/>
      <c r="AA41" s="8"/>
      <c r="AB41" s="8" t="s">
        <v>76</v>
      </c>
      <c r="AC41" s="8"/>
    </row>
    <row r="42" spans="1:29" ht="30" customHeight="1" x14ac:dyDescent="0.3">
      <c r="A42" s="8" t="s">
        <v>70</v>
      </c>
      <c r="B42" s="8"/>
      <c r="C42" s="8" t="s">
        <v>133</v>
      </c>
      <c r="D42" s="8" t="s">
        <v>134</v>
      </c>
      <c r="E42" s="8" t="s">
        <v>131</v>
      </c>
      <c r="F42" s="8"/>
      <c r="G42" s="8"/>
      <c r="H42" s="8"/>
      <c r="I42" s="8" t="s">
        <v>74</v>
      </c>
      <c r="J42" s="8" t="s">
        <v>74</v>
      </c>
      <c r="K42" s="8"/>
      <c r="L42" s="8"/>
      <c r="M42" s="8"/>
      <c r="N42" s="8" t="s">
        <v>135</v>
      </c>
      <c r="O42" s="8" t="s">
        <v>135</v>
      </c>
      <c r="P42" s="8" t="s">
        <v>76</v>
      </c>
      <c r="Q42" s="8" t="s">
        <v>76</v>
      </c>
      <c r="R42" s="8" t="s">
        <v>76</v>
      </c>
      <c r="S42" s="8" t="s">
        <v>76</v>
      </c>
      <c r="T42" s="8" t="s">
        <v>76</v>
      </c>
      <c r="U42" s="8" t="s">
        <v>76</v>
      </c>
      <c r="V42" s="8" t="s">
        <v>76</v>
      </c>
      <c r="W42" s="8" t="s">
        <v>76</v>
      </c>
      <c r="X42" s="8" t="s">
        <v>76</v>
      </c>
      <c r="Y42" s="8" t="s">
        <v>76</v>
      </c>
      <c r="Z42" s="8"/>
      <c r="AA42" s="8"/>
      <c r="AB42" s="8" t="s">
        <v>76</v>
      </c>
      <c r="AC42" s="8"/>
    </row>
    <row r="43" spans="1:29" ht="30" customHeight="1" x14ac:dyDescent="0.3">
      <c r="A43" s="8" t="s">
        <v>70</v>
      </c>
      <c r="B43" s="8"/>
      <c r="C43" s="8" t="s">
        <v>136</v>
      </c>
      <c r="D43" s="8" t="s">
        <v>137</v>
      </c>
      <c r="E43" s="8" t="s">
        <v>131</v>
      </c>
      <c r="F43" s="8"/>
      <c r="G43" s="8"/>
      <c r="H43" s="8"/>
      <c r="I43" s="8" t="s">
        <v>74</v>
      </c>
      <c r="J43" s="8" t="s">
        <v>74</v>
      </c>
      <c r="K43" s="8"/>
      <c r="L43" s="8"/>
      <c r="M43" s="8"/>
      <c r="N43" s="8" t="s">
        <v>138</v>
      </c>
      <c r="O43" s="8" t="s">
        <v>138</v>
      </c>
      <c r="P43" s="8" t="s">
        <v>76</v>
      </c>
      <c r="Q43" s="8" t="s">
        <v>76</v>
      </c>
      <c r="R43" s="8" t="s">
        <v>76</v>
      </c>
      <c r="S43" s="8" t="s">
        <v>76</v>
      </c>
      <c r="T43" s="8" t="s">
        <v>76</v>
      </c>
      <c r="U43" s="8" t="s">
        <v>76</v>
      </c>
      <c r="V43" s="8" t="s">
        <v>76</v>
      </c>
      <c r="W43" s="8" t="s">
        <v>76</v>
      </c>
      <c r="X43" s="8" t="s">
        <v>76</v>
      </c>
      <c r="Y43" s="8" t="s">
        <v>76</v>
      </c>
      <c r="Z43" s="8"/>
      <c r="AA43" s="8"/>
      <c r="AB43" s="8" t="s">
        <v>76</v>
      </c>
      <c r="AC43" s="8"/>
    </row>
    <row r="44" spans="1:29" ht="30" customHeight="1" x14ac:dyDescent="0.3">
      <c r="A44" s="8" t="s">
        <v>70</v>
      </c>
      <c r="B44" s="8"/>
      <c r="C44" s="8" t="s">
        <v>139</v>
      </c>
      <c r="D44" s="8" t="s">
        <v>140</v>
      </c>
      <c r="E44" s="8" t="s">
        <v>131</v>
      </c>
      <c r="F44" s="8"/>
      <c r="G44" s="8"/>
      <c r="H44" s="8"/>
      <c r="I44" s="8" t="s">
        <v>74</v>
      </c>
      <c r="J44" s="8" t="s">
        <v>74</v>
      </c>
      <c r="K44" s="8"/>
      <c r="L44" s="8"/>
      <c r="M44" s="8"/>
      <c r="N44" s="8" t="s">
        <v>141</v>
      </c>
      <c r="O44" s="8" t="s">
        <v>141</v>
      </c>
      <c r="P44" s="8" t="s">
        <v>76</v>
      </c>
      <c r="Q44" s="8" t="s">
        <v>76</v>
      </c>
      <c r="R44" s="8" t="s">
        <v>76</v>
      </c>
      <c r="S44" s="8" t="s">
        <v>76</v>
      </c>
      <c r="T44" s="8" t="s">
        <v>76</v>
      </c>
      <c r="U44" s="8" t="s">
        <v>76</v>
      </c>
      <c r="V44" s="8" t="s">
        <v>76</v>
      </c>
      <c r="W44" s="8" t="s">
        <v>76</v>
      </c>
      <c r="X44" s="8" t="s">
        <v>76</v>
      </c>
      <c r="Y44" s="8" t="s">
        <v>76</v>
      </c>
      <c r="Z44" s="8"/>
      <c r="AA44" s="8"/>
      <c r="AB44" s="8" t="s">
        <v>76</v>
      </c>
      <c r="AC44" s="8"/>
    </row>
    <row r="45" spans="1:29" ht="30" customHeight="1" x14ac:dyDescent="0.3">
      <c r="A45" s="8" t="s">
        <v>70</v>
      </c>
      <c r="B45" s="8"/>
      <c r="C45" s="8" t="s">
        <v>142</v>
      </c>
      <c r="D45" s="8" t="s">
        <v>143</v>
      </c>
      <c r="E45" s="8" t="s">
        <v>144</v>
      </c>
      <c r="F45" s="8"/>
      <c r="G45" s="8"/>
      <c r="H45" s="8"/>
      <c r="I45" s="8" t="s">
        <v>74</v>
      </c>
      <c r="J45" s="8" t="s">
        <v>74</v>
      </c>
      <c r="K45" s="8"/>
      <c r="L45" s="8"/>
      <c r="M45" s="8"/>
      <c r="N45" s="8" t="s">
        <v>145</v>
      </c>
      <c r="O45" s="8" t="s">
        <v>145</v>
      </c>
      <c r="P45" s="8" t="s">
        <v>76</v>
      </c>
      <c r="Q45" s="8" t="s">
        <v>76</v>
      </c>
      <c r="R45" s="8" t="s">
        <v>76</v>
      </c>
      <c r="S45" s="8" t="s">
        <v>76</v>
      </c>
      <c r="T45" s="8" t="s">
        <v>76</v>
      </c>
      <c r="U45" s="8" t="s">
        <v>76</v>
      </c>
      <c r="V45" s="8" t="s">
        <v>76</v>
      </c>
      <c r="W45" s="8" t="s">
        <v>76</v>
      </c>
      <c r="X45" s="8" t="s">
        <v>76</v>
      </c>
      <c r="Y45" s="8" t="s">
        <v>76</v>
      </c>
      <c r="Z45" s="8"/>
      <c r="AA45" s="8"/>
      <c r="AB45" s="8" t="s">
        <v>76</v>
      </c>
      <c r="AC45" s="8"/>
    </row>
    <row r="46" spans="1:29" ht="30" customHeight="1" x14ac:dyDescent="0.3">
      <c r="A46" s="8" t="s">
        <v>70</v>
      </c>
      <c r="B46" s="8"/>
      <c r="C46" s="8" t="s">
        <v>146</v>
      </c>
      <c r="D46" s="8" t="s">
        <v>147</v>
      </c>
      <c r="E46" s="8" t="s">
        <v>144</v>
      </c>
      <c r="F46" s="8"/>
      <c r="G46" s="8"/>
      <c r="H46" s="8"/>
      <c r="I46" s="8" t="s">
        <v>74</v>
      </c>
      <c r="J46" s="8" t="s">
        <v>74</v>
      </c>
      <c r="K46" s="8"/>
      <c r="L46" s="8"/>
      <c r="M46" s="8"/>
      <c r="N46" s="8" t="s">
        <v>148</v>
      </c>
      <c r="O46" s="8" t="s">
        <v>148</v>
      </c>
      <c r="P46" s="8" t="s">
        <v>76</v>
      </c>
      <c r="Q46" s="8" t="s">
        <v>76</v>
      </c>
      <c r="R46" s="8" t="s">
        <v>76</v>
      </c>
      <c r="S46" s="8" t="s">
        <v>76</v>
      </c>
      <c r="T46" s="8" t="s">
        <v>76</v>
      </c>
      <c r="U46" s="8" t="s">
        <v>76</v>
      </c>
      <c r="V46" s="8" t="s">
        <v>76</v>
      </c>
      <c r="W46" s="8" t="s">
        <v>76</v>
      </c>
      <c r="X46" s="8" t="s">
        <v>76</v>
      </c>
      <c r="Y46" s="8" t="s">
        <v>76</v>
      </c>
      <c r="Z46" s="8"/>
      <c r="AA46" s="8"/>
      <c r="AB46" s="8" t="s">
        <v>76</v>
      </c>
      <c r="AC46" s="8"/>
    </row>
    <row r="47" spans="1:29" ht="30" customHeight="1" x14ac:dyDescent="0.3">
      <c r="A47" s="8" t="s">
        <v>70</v>
      </c>
      <c r="B47" s="8"/>
      <c r="C47" s="8" t="s">
        <v>149</v>
      </c>
      <c r="D47" s="8" t="s">
        <v>150</v>
      </c>
      <c r="E47" s="8" t="s">
        <v>151</v>
      </c>
      <c r="F47" s="8"/>
      <c r="G47" s="8"/>
      <c r="H47" s="8"/>
      <c r="I47" s="8" t="s">
        <v>74</v>
      </c>
      <c r="J47" s="8" t="s">
        <v>74</v>
      </c>
      <c r="K47" s="8"/>
      <c r="L47" s="8"/>
      <c r="M47" s="8"/>
      <c r="N47" s="8" t="s">
        <v>152</v>
      </c>
      <c r="O47" s="8" t="s">
        <v>152</v>
      </c>
      <c r="P47" s="8" t="s">
        <v>76</v>
      </c>
      <c r="Q47" s="8" t="s">
        <v>76</v>
      </c>
      <c r="R47" s="8" t="s">
        <v>76</v>
      </c>
      <c r="S47" s="8" t="s">
        <v>76</v>
      </c>
      <c r="T47" s="8" t="s">
        <v>76</v>
      </c>
      <c r="U47" s="8" t="s">
        <v>76</v>
      </c>
      <c r="V47" s="8" t="s">
        <v>76</v>
      </c>
      <c r="W47" s="8" t="s">
        <v>76</v>
      </c>
      <c r="X47" s="8" t="s">
        <v>76</v>
      </c>
      <c r="Y47" s="8" t="s">
        <v>76</v>
      </c>
      <c r="Z47" s="8"/>
      <c r="AA47" s="8"/>
      <c r="AB47" s="8" t="s">
        <v>76</v>
      </c>
      <c r="AC47" s="8"/>
    </row>
    <row r="48" spans="1:29" ht="30" customHeight="1" x14ac:dyDescent="0.3">
      <c r="A48" s="8" t="s">
        <v>70</v>
      </c>
      <c r="B48" s="8"/>
      <c r="C48" s="8" t="s">
        <v>153</v>
      </c>
      <c r="D48" s="8" t="s">
        <v>154</v>
      </c>
      <c r="E48" s="8" t="s">
        <v>155</v>
      </c>
      <c r="F48" s="8" t="s">
        <v>156</v>
      </c>
      <c r="G48" s="8"/>
      <c r="H48" s="8" t="s">
        <v>157</v>
      </c>
      <c r="I48" s="8" t="s">
        <v>74</v>
      </c>
      <c r="J48" s="8" t="s">
        <v>74</v>
      </c>
      <c r="K48" s="8"/>
      <c r="L48" s="8"/>
      <c r="M48" s="8"/>
      <c r="N48" s="8" t="s">
        <v>158</v>
      </c>
      <c r="O48" s="8" t="s">
        <v>159</v>
      </c>
      <c r="P48" s="8" t="s">
        <v>76</v>
      </c>
      <c r="Q48" s="8" t="s">
        <v>160</v>
      </c>
      <c r="R48" s="8" t="s">
        <v>76</v>
      </c>
      <c r="S48" s="8" t="s">
        <v>76</v>
      </c>
      <c r="T48" s="8" t="s">
        <v>76</v>
      </c>
      <c r="U48" s="8" t="s">
        <v>76</v>
      </c>
      <c r="V48" s="8" t="s">
        <v>76</v>
      </c>
      <c r="W48" s="8" t="s">
        <v>76</v>
      </c>
      <c r="X48" s="8" t="s">
        <v>76</v>
      </c>
      <c r="Y48" s="8" t="s">
        <v>76</v>
      </c>
      <c r="Z48" s="8"/>
      <c r="AA48" s="8"/>
      <c r="AB48" s="8" t="s">
        <v>76</v>
      </c>
      <c r="AC48" s="8"/>
    </row>
    <row r="49" spans="1:29" ht="30" customHeight="1" x14ac:dyDescent="0.3">
      <c r="A49" s="8" t="s">
        <v>70</v>
      </c>
      <c r="B49" s="8"/>
      <c r="C49" s="8" t="s">
        <v>161</v>
      </c>
      <c r="D49" s="8" t="s">
        <v>162</v>
      </c>
      <c r="E49" s="8" t="s">
        <v>144</v>
      </c>
      <c r="F49" s="8" t="s">
        <v>163</v>
      </c>
      <c r="G49" s="8"/>
      <c r="H49" s="8" t="s">
        <v>164</v>
      </c>
      <c r="I49" s="8" t="s">
        <v>74</v>
      </c>
      <c r="J49" s="8" t="s">
        <v>74</v>
      </c>
      <c r="K49" s="8"/>
      <c r="L49" s="8"/>
      <c r="M49" s="8"/>
      <c r="N49" s="8" t="s">
        <v>165</v>
      </c>
      <c r="O49" s="8" t="s">
        <v>166</v>
      </c>
      <c r="P49" s="8" t="s">
        <v>76</v>
      </c>
      <c r="Q49" s="8" t="s">
        <v>167</v>
      </c>
      <c r="R49" s="8" t="s">
        <v>76</v>
      </c>
      <c r="S49" s="8" t="s">
        <v>76</v>
      </c>
      <c r="T49" s="8" t="s">
        <v>76</v>
      </c>
      <c r="U49" s="8" t="s">
        <v>76</v>
      </c>
      <c r="V49" s="8" t="s">
        <v>76</v>
      </c>
      <c r="W49" s="8" t="s">
        <v>76</v>
      </c>
      <c r="X49" s="8" t="s">
        <v>76</v>
      </c>
      <c r="Y49" s="8" t="s">
        <v>76</v>
      </c>
      <c r="Z49" s="8"/>
      <c r="AA49" s="8"/>
      <c r="AB49" s="8" t="s">
        <v>76</v>
      </c>
      <c r="AC49" s="8"/>
    </row>
    <row r="50" spans="1:29" ht="30" customHeight="1" x14ac:dyDescent="0.3">
      <c r="A50" s="8" t="s">
        <v>70</v>
      </c>
      <c r="B50" s="8"/>
      <c r="C50" s="8" t="s">
        <v>168</v>
      </c>
      <c r="D50" s="8" t="s">
        <v>169</v>
      </c>
      <c r="E50" s="8" t="s">
        <v>170</v>
      </c>
      <c r="F50" s="8" t="s">
        <v>171</v>
      </c>
      <c r="G50" s="8"/>
      <c r="H50" s="8" t="s">
        <v>172</v>
      </c>
      <c r="I50" s="8" t="s">
        <v>74</v>
      </c>
      <c r="J50" s="8" t="s">
        <v>74</v>
      </c>
      <c r="K50" s="8"/>
      <c r="L50" s="8"/>
      <c r="M50" s="8"/>
      <c r="N50" s="8" t="s">
        <v>173</v>
      </c>
      <c r="O50" s="8" t="s">
        <v>174</v>
      </c>
      <c r="P50" s="8" t="s">
        <v>76</v>
      </c>
      <c r="Q50" s="8" t="s">
        <v>175</v>
      </c>
      <c r="R50" s="8" t="s">
        <v>76</v>
      </c>
      <c r="S50" s="8" t="s">
        <v>76</v>
      </c>
      <c r="T50" s="8" t="s">
        <v>76</v>
      </c>
      <c r="U50" s="8" t="s">
        <v>76</v>
      </c>
      <c r="V50" s="8" t="s">
        <v>76</v>
      </c>
      <c r="W50" s="8" t="s">
        <v>76</v>
      </c>
      <c r="X50" s="8" t="s">
        <v>76</v>
      </c>
      <c r="Y50" s="8" t="s">
        <v>76</v>
      </c>
      <c r="Z50" s="8"/>
      <c r="AA50" s="8"/>
      <c r="AB50" s="8" t="s">
        <v>76</v>
      </c>
      <c r="AC50" s="8"/>
    </row>
    <row r="51" spans="1:29" ht="30" customHeight="1" x14ac:dyDescent="0.3">
      <c r="A51" s="8" t="s">
        <v>70</v>
      </c>
      <c r="B51" s="8"/>
      <c r="C51" s="8" t="s">
        <v>176</v>
      </c>
      <c r="D51" s="8" t="s">
        <v>177</v>
      </c>
      <c r="E51" s="8" t="s">
        <v>178</v>
      </c>
      <c r="F51" s="8" t="s">
        <v>179</v>
      </c>
      <c r="G51" s="8"/>
      <c r="H51" s="8" t="s">
        <v>180</v>
      </c>
      <c r="I51" s="8" t="s">
        <v>74</v>
      </c>
      <c r="J51" s="8" t="s">
        <v>74</v>
      </c>
      <c r="K51" s="8"/>
      <c r="L51" s="8"/>
      <c r="M51" s="8"/>
      <c r="N51" s="8" t="s">
        <v>181</v>
      </c>
      <c r="O51" s="8" t="s">
        <v>182</v>
      </c>
      <c r="P51" s="8" t="s">
        <v>76</v>
      </c>
      <c r="Q51" s="8" t="s">
        <v>183</v>
      </c>
      <c r="R51" s="8" t="s">
        <v>76</v>
      </c>
      <c r="S51" s="8" t="s">
        <v>76</v>
      </c>
      <c r="T51" s="8" t="s">
        <v>76</v>
      </c>
      <c r="U51" s="8" t="s">
        <v>76</v>
      </c>
      <c r="V51" s="8" t="s">
        <v>76</v>
      </c>
      <c r="W51" s="8" t="s">
        <v>76</v>
      </c>
      <c r="X51" s="8" t="s">
        <v>76</v>
      </c>
      <c r="Y51" s="8" t="s">
        <v>76</v>
      </c>
      <c r="Z51" s="8"/>
      <c r="AA51" s="8"/>
      <c r="AB51" s="8" t="s">
        <v>76</v>
      </c>
      <c r="AC51" s="8"/>
    </row>
    <row r="52" spans="1:29" ht="30" customHeight="1" x14ac:dyDescent="0.3">
      <c r="A52" s="8" t="s">
        <v>70</v>
      </c>
      <c r="B52" s="8"/>
      <c r="C52" s="8" t="s">
        <v>184</v>
      </c>
      <c r="D52" s="8" t="s">
        <v>185</v>
      </c>
      <c r="E52" s="8" t="s">
        <v>186</v>
      </c>
      <c r="F52" s="8" t="s">
        <v>187</v>
      </c>
      <c r="G52" s="8"/>
      <c r="H52" s="8" t="s">
        <v>188</v>
      </c>
      <c r="I52" s="8" t="s">
        <v>74</v>
      </c>
      <c r="J52" s="8" t="s">
        <v>74</v>
      </c>
      <c r="K52" s="8"/>
      <c r="L52" s="8"/>
      <c r="M52" s="8"/>
      <c r="N52" s="8" t="s">
        <v>189</v>
      </c>
      <c r="O52" s="8" t="s">
        <v>190</v>
      </c>
      <c r="P52" s="8" t="s">
        <v>76</v>
      </c>
      <c r="Q52" s="8" t="s">
        <v>191</v>
      </c>
      <c r="R52" s="8" t="s">
        <v>76</v>
      </c>
      <c r="S52" s="8" t="s">
        <v>76</v>
      </c>
      <c r="T52" s="8" t="s">
        <v>76</v>
      </c>
      <c r="U52" s="8" t="s">
        <v>76</v>
      </c>
      <c r="V52" s="8" t="s">
        <v>76</v>
      </c>
      <c r="W52" s="8" t="s">
        <v>76</v>
      </c>
      <c r="X52" s="8" t="s">
        <v>76</v>
      </c>
      <c r="Y52" s="8" t="s">
        <v>76</v>
      </c>
      <c r="Z52" s="8"/>
      <c r="AA52" s="8"/>
      <c r="AB52" s="8" t="s">
        <v>76</v>
      </c>
      <c r="AC52" s="8"/>
    </row>
    <row r="53" spans="1:29" ht="30" customHeight="1" x14ac:dyDescent="0.3">
      <c r="A53" s="8" t="s">
        <v>70</v>
      </c>
      <c r="B53" s="8"/>
      <c r="C53" s="8" t="s">
        <v>192</v>
      </c>
      <c r="D53" s="8" t="s">
        <v>193</v>
      </c>
      <c r="E53" s="8" t="s">
        <v>186</v>
      </c>
      <c r="F53" s="8" t="s">
        <v>194</v>
      </c>
      <c r="G53" s="8"/>
      <c r="H53" s="8" t="s">
        <v>195</v>
      </c>
      <c r="I53" s="8" t="s">
        <v>74</v>
      </c>
      <c r="J53" s="8" t="s">
        <v>74</v>
      </c>
      <c r="K53" s="8"/>
      <c r="L53" s="8"/>
      <c r="M53" s="8"/>
      <c r="N53" s="8" t="s">
        <v>196</v>
      </c>
      <c r="O53" s="8" t="s">
        <v>197</v>
      </c>
      <c r="P53" s="8" t="s">
        <v>76</v>
      </c>
      <c r="Q53" s="8" t="s">
        <v>198</v>
      </c>
      <c r="R53" s="8" t="s">
        <v>76</v>
      </c>
      <c r="S53" s="8" t="s">
        <v>76</v>
      </c>
      <c r="T53" s="8" t="s">
        <v>76</v>
      </c>
      <c r="U53" s="8" t="s">
        <v>76</v>
      </c>
      <c r="V53" s="8" t="s">
        <v>76</v>
      </c>
      <c r="W53" s="8" t="s">
        <v>76</v>
      </c>
      <c r="X53" s="8" t="s">
        <v>76</v>
      </c>
      <c r="Y53" s="8" t="s">
        <v>76</v>
      </c>
      <c r="Z53" s="8"/>
      <c r="AA53" s="8"/>
      <c r="AB53" s="8" t="s">
        <v>76</v>
      </c>
      <c r="AC53" s="8"/>
    </row>
    <row r="54" spans="1:29" ht="30" customHeight="1" x14ac:dyDescent="0.3">
      <c r="A54" s="8" t="s">
        <v>70</v>
      </c>
      <c r="B54" s="8"/>
      <c r="C54" s="8" t="s">
        <v>199</v>
      </c>
      <c r="D54" s="8" t="s">
        <v>200</v>
      </c>
      <c r="E54" s="8" t="s">
        <v>73</v>
      </c>
      <c r="F54" s="8" t="s">
        <v>201</v>
      </c>
      <c r="G54" s="8"/>
      <c r="H54" s="8" t="s">
        <v>202</v>
      </c>
      <c r="I54" s="8" t="s">
        <v>74</v>
      </c>
      <c r="J54" s="8" t="s">
        <v>74</v>
      </c>
      <c r="K54" s="8"/>
      <c r="L54" s="8"/>
      <c r="M54" s="8"/>
      <c r="N54" s="8" t="s">
        <v>173</v>
      </c>
      <c r="O54" s="8" t="s">
        <v>174</v>
      </c>
      <c r="P54" s="8" t="s">
        <v>76</v>
      </c>
      <c r="Q54" s="8" t="s">
        <v>175</v>
      </c>
      <c r="R54" s="8" t="s">
        <v>76</v>
      </c>
      <c r="S54" s="8" t="s">
        <v>76</v>
      </c>
      <c r="T54" s="8" t="s">
        <v>76</v>
      </c>
      <c r="U54" s="8" t="s">
        <v>76</v>
      </c>
      <c r="V54" s="8" t="s">
        <v>76</v>
      </c>
      <c r="W54" s="8" t="s">
        <v>76</v>
      </c>
      <c r="X54" s="8" t="s">
        <v>76</v>
      </c>
      <c r="Y54" s="8" t="s">
        <v>76</v>
      </c>
      <c r="Z54" s="8"/>
      <c r="AA54" s="8"/>
      <c r="AB54" s="8" t="s">
        <v>76</v>
      </c>
      <c r="AC54" s="8"/>
    </row>
    <row r="55" spans="1:29" ht="30" customHeight="1" x14ac:dyDescent="0.3">
      <c r="A55" s="8" t="s">
        <v>70</v>
      </c>
      <c r="B55" s="8"/>
      <c r="C55" s="8" t="s">
        <v>203</v>
      </c>
      <c r="D55" s="8" t="s">
        <v>204</v>
      </c>
      <c r="E55" s="8" t="s">
        <v>151</v>
      </c>
      <c r="F55" s="8" t="s">
        <v>201</v>
      </c>
      <c r="G55" s="8"/>
      <c r="H55" s="8" t="s">
        <v>205</v>
      </c>
      <c r="I55" s="8" t="s">
        <v>74</v>
      </c>
      <c r="J55" s="8" t="s">
        <v>74</v>
      </c>
      <c r="K55" s="8"/>
      <c r="L55" s="8"/>
      <c r="M55" s="8"/>
      <c r="N55" s="8" t="s">
        <v>206</v>
      </c>
      <c r="O55" s="8" t="s">
        <v>207</v>
      </c>
      <c r="P55" s="8" t="s">
        <v>76</v>
      </c>
      <c r="Q55" s="8" t="s">
        <v>208</v>
      </c>
      <c r="R55" s="8" t="s">
        <v>76</v>
      </c>
      <c r="S55" s="8" t="s">
        <v>76</v>
      </c>
      <c r="T55" s="8" t="s">
        <v>76</v>
      </c>
      <c r="U55" s="8" t="s">
        <v>76</v>
      </c>
      <c r="V55" s="8" t="s">
        <v>76</v>
      </c>
      <c r="W55" s="8" t="s">
        <v>76</v>
      </c>
      <c r="X55" s="8" t="s">
        <v>76</v>
      </c>
      <c r="Y55" s="8" t="s">
        <v>76</v>
      </c>
      <c r="Z55" s="8"/>
      <c r="AA55" s="8"/>
      <c r="AB55" s="8" t="s">
        <v>76</v>
      </c>
      <c r="AC55" s="8"/>
    </row>
    <row r="56" spans="1:29" ht="30" customHeight="1" x14ac:dyDescent="0.3">
      <c r="A56" s="8" t="s">
        <v>70</v>
      </c>
      <c r="B56" s="8"/>
      <c r="C56" s="8" t="s">
        <v>209</v>
      </c>
      <c r="D56" s="8" t="s">
        <v>210</v>
      </c>
      <c r="E56" s="8" t="s">
        <v>127</v>
      </c>
      <c r="F56" s="8" t="s">
        <v>211</v>
      </c>
      <c r="G56" s="8"/>
      <c r="H56" s="8" t="s">
        <v>212</v>
      </c>
      <c r="I56" s="8" t="s">
        <v>74</v>
      </c>
      <c r="J56" s="8" t="s">
        <v>74</v>
      </c>
      <c r="K56" s="8"/>
      <c r="L56" s="8"/>
      <c r="M56" s="8"/>
      <c r="N56" s="8" t="s">
        <v>213</v>
      </c>
      <c r="O56" s="8" t="s">
        <v>214</v>
      </c>
      <c r="P56" s="8" t="s">
        <v>76</v>
      </c>
      <c r="Q56" s="8" t="s">
        <v>215</v>
      </c>
      <c r="R56" s="8" t="s">
        <v>76</v>
      </c>
      <c r="S56" s="8" t="s">
        <v>76</v>
      </c>
      <c r="T56" s="8" t="s">
        <v>76</v>
      </c>
      <c r="U56" s="8" t="s">
        <v>76</v>
      </c>
      <c r="V56" s="8" t="s">
        <v>76</v>
      </c>
      <c r="W56" s="8" t="s">
        <v>76</v>
      </c>
      <c r="X56" s="8" t="s">
        <v>76</v>
      </c>
      <c r="Y56" s="8" t="s">
        <v>76</v>
      </c>
      <c r="Z56" s="8"/>
      <c r="AA56" s="8"/>
      <c r="AB56" s="8" t="s">
        <v>76</v>
      </c>
      <c r="AC56" s="8"/>
    </row>
    <row r="57" spans="1:29" ht="30" customHeight="1" x14ac:dyDescent="0.3">
      <c r="A57" s="8" t="s">
        <v>70</v>
      </c>
      <c r="B57" s="8"/>
      <c r="C57" s="8" t="s">
        <v>216</v>
      </c>
      <c r="D57" s="8" t="s">
        <v>217</v>
      </c>
      <c r="E57" s="8" t="s">
        <v>151</v>
      </c>
      <c r="F57" s="8" t="s">
        <v>218</v>
      </c>
      <c r="G57" s="8"/>
      <c r="H57" s="8" t="s">
        <v>219</v>
      </c>
      <c r="I57" s="8" t="s">
        <v>74</v>
      </c>
      <c r="J57" s="8" t="s">
        <v>74</v>
      </c>
      <c r="K57" s="8"/>
      <c r="L57" s="8"/>
      <c r="M57" s="8"/>
      <c r="N57" s="8" t="s">
        <v>165</v>
      </c>
      <c r="O57" s="8" t="s">
        <v>166</v>
      </c>
      <c r="P57" s="8" t="s">
        <v>76</v>
      </c>
      <c r="Q57" s="8" t="s">
        <v>167</v>
      </c>
      <c r="R57" s="8" t="s">
        <v>76</v>
      </c>
      <c r="S57" s="8" t="s">
        <v>76</v>
      </c>
      <c r="T57" s="8" t="s">
        <v>76</v>
      </c>
      <c r="U57" s="8" t="s">
        <v>76</v>
      </c>
      <c r="V57" s="8" t="s">
        <v>76</v>
      </c>
      <c r="W57" s="8" t="s">
        <v>76</v>
      </c>
      <c r="X57" s="8" t="s">
        <v>76</v>
      </c>
      <c r="Y57" s="8" t="s">
        <v>76</v>
      </c>
      <c r="Z57" s="8"/>
      <c r="AA57" s="8"/>
      <c r="AB57" s="8" t="s">
        <v>76</v>
      </c>
      <c r="AC57" s="8"/>
    </row>
    <row r="58" spans="1:29" ht="30" customHeight="1" x14ac:dyDescent="0.3">
      <c r="A58" s="8" t="s">
        <v>70</v>
      </c>
      <c r="B58" s="8"/>
      <c r="C58" s="8" t="s">
        <v>220</v>
      </c>
      <c r="D58" s="8" t="s">
        <v>221</v>
      </c>
      <c r="E58" s="8" t="s">
        <v>151</v>
      </c>
      <c r="F58" s="8" t="s">
        <v>222</v>
      </c>
      <c r="G58" s="8"/>
      <c r="H58" s="8" t="s">
        <v>223</v>
      </c>
      <c r="I58" s="8" t="s">
        <v>74</v>
      </c>
      <c r="J58" s="8" t="s">
        <v>74</v>
      </c>
      <c r="K58" s="8"/>
      <c r="L58" s="8"/>
      <c r="M58" s="8"/>
      <c r="N58" s="8" t="s">
        <v>224</v>
      </c>
      <c r="O58" s="8" t="s">
        <v>225</v>
      </c>
      <c r="P58" s="8" t="s">
        <v>76</v>
      </c>
      <c r="Q58" s="8" t="s">
        <v>226</v>
      </c>
      <c r="R58" s="8" t="s">
        <v>76</v>
      </c>
      <c r="S58" s="8" t="s">
        <v>76</v>
      </c>
      <c r="T58" s="8" t="s">
        <v>76</v>
      </c>
      <c r="U58" s="8" t="s">
        <v>76</v>
      </c>
      <c r="V58" s="8" t="s">
        <v>76</v>
      </c>
      <c r="W58" s="8" t="s">
        <v>76</v>
      </c>
      <c r="X58" s="8" t="s">
        <v>76</v>
      </c>
      <c r="Y58" s="8" t="s">
        <v>76</v>
      </c>
      <c r="Z58" s="8"/>
      <c r="AA58" s="8"/>
      <c r="AB58" s="8" t="s">
        <v>76</v>
      </c>
      <c r="AC58" s="8"/>
    </row>
    <row r="59" spans="1:29" ht="30" customHeight="1" x14ac:dyDescent="0.3">
      <c r="A59" s="8" t="s">
        <v>70</v>
      </c>
      <c r="B59" s="8"/>
      <c r="C59" s="8" t="s">
        <v>227</v>
      </c>
      <c r="D59" s="8" t="s">
        <v>228</v>
      </c>
      <c r="E59" s="8" t="s">
        <v>229</v>
      </c>
      <c r="F59" s="8" t="s">
        <v>230</v>
      </c>
      <c r="G59" s="8"/>
      <c r="H59" s="8" t="s">
        <v>231</v>
      </c>
      <c r="I59" s="8" t="s">
        <v>74</v>
      </c>
      <c r="J59" s="8" t="s">
        <v>74</v>
      </c>
      <c r="K59" s="8"/>
      <c r="L59" s="8"/>
      <c r="M59" s="8"/>
      <c r="N59" s="8" t="s">
        <v>232</v>
      </c>
      <c r="O59" s="8" t="s">
        <v>233</v>
      </c>
      <c r="P59" s="8" t="s">
        <v>76</v>
      </c>
      <c r="Q59" s="8" t="s">
        <v>234</v>
      </c>
      <c r="R59" s="8" t="s">
        <v>76</v>
      </c>
      <c r="S59" s="8" t="s">
        <v>76</v>
      </c>
      <c r="T59" s="8" t="s">
        <v>76</v>
      </c>
      <c r="U59" s="8" t="s">
        <v>76</v>
      </c>
      <c r="V59" s="8" t="s">
        <v>76</v>
      </c>
      <c r="W59" s="8" t="s">
        <v>76</v>
      </c>
      <c r="X59" s="8" t="s">
        <v>76</v>
      </c>
      <c r="Y59" s="8" t="s">
        <v>76</v>
      </c>
      <c r="Z59" s="8"/>
      <c r="AA59" s="8"/>
      <c r="AB59" s="8" t="s">
        <v>76</v>
      </c>
      <c r="AC59" s="8"/>
    </row>
    <row r="60" spans="1:29" ht="30" customHeight="1" x14ac:dyDescent="0.3">
      <c r="A60" s="8" t="s">
        <v>70</v>
      </c>
      <c r="B60" s="8"/>
      <c r="C60" s="8" t="s">
        <v>235</v>
      </c>
      <c r="D60" s="8" t="s">
        <v>236</v>
      </c>
      <c r="E60" s="8" t="s">
        <v>237</v>
      </c>
      <c r="F60" s="8" t="s">
        <v>238</v>
      </c>
      <c r="G60" s="8"/>
      <c r="H60" s="8" t="s">
        <v>239</v>
      </c>
      <c r="I60" s="8" t="s">
        <v>74</v>
      </c>
      <c r="J60" s="8" t="s">
        <v>74</v>
      </c>
      <c r="K60" s="8"/>
      <c r="L60" s="8"/>
      <c r="M60" s="8"/>
      <c r="N60" s="8" t="s">
        <v>240</v>
      </c>
      <c r="O60" s="8" t="s">
        <v>241</v>
      </c>
      <c r="P60" s="8" t="s">
        <v>76</v>
      </c>
      <c r="Q60" s="8" t="s">
        <v>242</v>
      </c>
      <c r="R60" s="8" t="s">
        <v>76</v>
      </c>
      <c r="S60" s="8" t="s">
        <v>76</v>
      </c>
      <c r="T60" s="8" t="s">
        <v>76</v>
      </c>
      <c r="U60" s="8" t="s">
        <v>76</v>
      </c>
      <c r="V60" s="8" t="s">
        <v>76</v>
      </c>
      <c r="W60" s="8" t="s">
        <v>76</v>
      </c>
      <c r="X60" s="8" t="s">
        <v>76</v>
      </c>
      <c r="Y60" s="8" t="s">
        <v>76</v>
      </c>
      <c r="Z60" s="8"/>
      <c r="AA60" s="8"/>
      <c r="AB60" s="8" t="s">
        <v>76</v>
      </c>
      <c r="AC60" s="8"/>
    </row>
    <row r="61" spans="1:29" ht="30" customHeight="1" x14ac:dyDescent="0.3">
      <c r="A61" s="8" t="s">
        <v>70</v>
      </c>
      <c r="B61" s="8"/>
      <c r="C61" s="8" t="s">
        <v>243</v>
      </c>
      <c r="D61" s="8" t="s">
        <v>244</v>
      </c>
      <c r="E61" s="8" t="s">
        <v>151</v>
      </c>
      <c r="F61" s="8" t="s">
        <v>245</v>
      </c>
      <c r="G61" s="8"/>
      <c r="H61" s="8" t="s">
        <v>246</v>
      </c>
      <c r="I61" s="8" t="s">
        <v>74</v>
      </c>
      <c r="J61" s="8" t="s">
        <v>74</v>
      </c>
      <c r="K61" s="8"/>
      <c r="L61" s="8"/>
      <c r="M61" s="8"/>
      <c r="N61" s="8" t="s">
        <v>247</v>
      </c>
      <c r="O61" s="8" t="s">
        <v>248</v>
      </c>
      <c r="P61" s="8" t="s">
        <v>76</v>
      </c>
      <c r="Q61" s="8" t="s">
        <v>249</v>
      </c>
      <c r="R61" s="8" t="s">
        <v>76</v>
      </c>
      <c r="S61" s="8" t="s">
        <v>76</v>
      </c>
      <c r="T61" s="8" t="s">
        <v>76</v>
      </c>
      <c r="U61" s="8" t="s">
        <v>76</v>
      </c>
      <c r="V61" s="8" t="s">
        <v>76</v>
      </c>
      <c r="W61" s="8" t="s">
        <v>76</v>
      </c>
      <c r="X61" s="8" t="s">
        <v>76</v>
      </c>
      <c r="Y61" s="8" t="s">
        <v>76</v>
      </c>
      <c r="Z61" s="8"/>
      <c r="AA61" s="8"/>
      <c r="AB61" s="8" t="s">
        <v>76</v>
      </c>
      <c r="AC61" s="8"/>
    </row>
    <row r="62" spans="1:29" ht="30" customHeight="1" x14ac:dyDescent="0.3">
      <c r="A62" s="8" t="s">
        <v>70</v>
      </c>
      <c r="B62" s="8"/>
      <c r="C62" s="8" t="s">
        <v>250</v>
      </c>
      <c r="D62" s="8" t="s">
        <v>251</v>
      </c>
      <c r="E62" s="8" t="s">
        <v>155</v>
      </c>
      <c r="F62" s="8"/>
      <c r="G62" s="8"/>
      <c r="H62" s="8"/>
      <c r="I62" s="8" t="s">
        <v>74</v>
      </c>
      <c r="J62" s="8" t="s">
        <v>74</v>
      </c>
      <c r="K62" s="8"/>
      <c r="L62" s="8"/>
      <c r="M62" s="8"/>
      <c r="N62" s="8" t="s">
        <v>252</v>
      </c>
      <c r="O62" s="8" t="s">
        <v>253</v>
      </c>
      <c r="P62" s="8" t="s">
        <v>76</v>
      </c>
      <c r="Q62" s="8" t="s">
        <v>254</v>
      </c>
      <c r="R62" s="8" t="s">
        <v>76</v>
      </c>
      <c r="S62" s="8" t="s">
        <v>76</v>
      </c>
      <c r="T62" s="8" t="s">
        <v>255</v>
      </c>
      <c r="U62" s="8" t="s">
        <v>76</v>
      </c>
      <c r="V62" s="8" t="s">
        <v>76</v>
      </c>
      <c r="W62" s="8" t="s">
        <v>76</v>
      </c>
      <c r="X62" s="8" t="s">
        <v>76</v>
      </c>
      <c r="Y62" s="8" t="s">
        <v>76</v>
      </c>
      <c r="Z62" s="8"/>
      <c r="AA62" s="8"/>
      <c r="AB62" s="8" t="s">
        <v>76</v>
      </c>
      <c r="AC62" s="8"/>
    </row>
    <row r="63" spans="1:29" ht="30" customHeight="1" x14ac:dyDescent="0.3">
      <c r="A63" s="8" t="s">
        <v>70</v>
      </c>
      <c r="B63" s="8"/>
      <c r="C63" s="8" t="s">
        <v>256</v>
      </c>
      <c r="D63" s="8" t="s">
        <v>257</v>
      </c>
      <c r="E63" s="8" t="s">
        <v>155</v>
      </c>
      <c r="F63" s="8"/>
      <c r="G63" s="8"/>
      <c r="H63" s="8"/>
      <c r="I63" s="8" t="s">
        <v>74</v>
      </c>
      <c r="J63" s="8" t="s">
        <v>74</v>
      </c>
      <c r="K63" s="8"/>
      <c r="L63" s="8"/>
      <c r="M63" s="8"/>
      <c r="N63" s="8" t="s">
        <v>258</v>
      </c>
      <c r="O63" s="8" t="s">
        <v>259</v>
      </c>
      <c r="P63" s="8" t="s">
        <v>76</v>
      </c>
      <c r="Q63" s="8" t="s">
        <v>260</v>
      </c>
      <c r="R63" s="8" t="s">
        <v>76</v>
      </c>
      <c r="S63" s="8" t="s">
        <v>76</v>
      </c>
      <c r="T63" s="8" t="s">
        <v>261</v>
      </c>
      <c r="U63" s="8" t="s">
        <v>76</v>
      </c>
      <c r="V63" s="8" t="s">
        <v>76</v>
      </c>
      <c r="W63" s="8" t="s">
        <v>76</v>
      </c>
      <c r="X63" s="8" t="s">
        <v>76</v>
      </c>
      <c r="Y63" s="8" t="s">
        <v>76</v>
      </c>
      <c r="Z63" s="8"/>
      <c r="AA63" s="8"/>
      <c r="AB63" s="8" t="s">
        <v>76</v>
      </c>
      <c r="AC63" s="8"/>
    </row>
    <row r="64" spans="1:29" ht="30" customHeight="1" x14ac:dyDescent="0.3">
      <c r="A64" s="8" t="s">
        <v>70</v>
      </c>
      <c r="B64" s="8"/>
      <c r="C64" s="8" t="s">
        <v>262</v>
      </c>
      <c r="D64" s="8" t="s">
        <v>263</v>
      </c>
      <c r="E64" s="8" t="s">
        <v>155</v>
      </c>
      <c r="F64" s="8"/>
      <c r="G64" s="8"/>
      <c r="H64" s="8"/>
      <c r="I64" s="8" t="s">
        <v>74</v>
      </c>
      <c r="J64" s="8" t="s">
        <v>74</v>
      </c>
      <c r="K64" s="8"/>
      <c r="L64" s="8"/>
      <c r="M64" s="8"/>
      <c r="N64" s="8" t="s">
        <v>264</v>
      </c>
      <c r="O64" s="8" t="s">
        <v>265</v>
      </c>
      <c r="P64" s="8" t="s">
        <v>76</v>
      </c>
      <c r="Q64" s="8" t="s">
        <v>266</v>
      </c>
      <c r="R64" s="8" t="s">
        <v>76</v>
      </c>
      <c r="S64" s="8" t="s">
        <v>76</v>
      </c>
      <c r="T64" s="8" t="s">
        <v>267</v>
      </c>
      <c r="U64" s="8" t="s">
        <v>76</v>
      </c>
      <c r="V64" s="8" t="s">
        <v>76</v>
      </c>
      <c r="W64" s="8" t="s">
        <v>76</v>
      </c>
      <c r="X64" s="8" t="s">
        <v>76</v>
      </c>
      <c r="Y64" s="8" t="s">
        <v>76</v>
      </c>
      <c r="Z64" s="8"/>
      <c r="AA64" s="8"/>
      <c r="AB64" s="8" t="s">
        <v>76</v>
      </c>
      <c r="AC64" s="8"/>
    </row>
    <row r="65" spans="1:29" ht="30" customHeight="1" x14ac:dyDescent="0.3">
      <c r="A65" s="8" t="s">
        <v>70</v>
      </c>
      <c r="B65" s="8"/>
      <c r="C65" s="8" t="s">
        <v>268</v>
      </c>
      <c r="D65" s="8" t="s">
        <v>269</v>
      </c>
      <c r="E65" s="8" t="s">
        <v>155</v>
      </c>
      <c r="F65" s="8"/>
      <c r="G65" s="8"/>
      <c r="H65" s="8"/>
      <c r="I65" s="8" t="s">
        <v>74</v>
      </c>
      <c r="J65" s="8" t="s">
        <v>74</v>
      </c>
      <c r="K65" s="8"/>
      <c r="L65" s="8"/>
      <c r="M65" s="8"/>
      <c r="N65" s="8" t="s">
        <v>270</v>
      </c>
      <c r="O65" s="8" t="s">
        <v>271</v>
      </c>
      <c r="P65" s="8" t="s">
        <v>76</v>
      </c>
      <c r="Q65" s="8" t="s">
        <v>272</v>
      </c>
      <c r="R65" s="8" t="s">
        <v>76</v>
      </c>
      <c r="S65" s="8" t="s">
        <v>76</v>
      </c>
      <c r="T65" s="8" t="s">
        <v>273</v>
      </c>
      <c r="U65" s="8" t="s">
        <v>76</v>
      </c>
      <c r="V65" s="8" t="s">
        <v>76</v>
      </c>
      <c r="W65" s="8" t="s">
        <v>76</v>
      </c>
      <c r="X65" s="8" t="s">
        <v>76</v>
      </c>
      <c r="Y65" s="8" t="s">
        <v>76</v>
      </c>
      <c r="Z65" s="8"/>
      <c r="AA65" s="8"/>
      <c r="AB65" s="8" t="s">
        <v>76</v>
      </c>
      <c r="AC65" s="8"/>
    </row>
    <row r="66" spans="1:29" ht="30" customHeight="1" x14ac:dyDescent="0.3">
      <c r="A66" s="8" t="s">
        <v>70</v>
      </c>
      <c r="B66" s="8"/>
      <c r="C66" s="8" t="s">
        <v>274</v>
      </c>
      <c r="D66" s="8" t="s">
        <v>275</v>
      </c>
      <c r="E66" s="8" t="s">
        <v>155</v>
      </c>
      <c r="F66" s="8"/>
      <c r="G66" s="8"/>
      <c r="H66" s="8"/>
      <c r="I66" s="8" t="s">
        <v>74</v>
      </c>
      <c r="J66" s="8" t="s">
        <v>74</v>
      </c>
      <c r="K66" s="8"/>
      <c r="L66" s="8"/>
      <c r="M66" s="8"/>
      <c r="N66" s="8" t="s">
        <v>276</v>
      </c>
      <c r="O66" s="8" t="s">
        <v>277</v>
      </c>
      <c r="P66" s="8" t="s">
        <v>76</v>
      </c>
      <c r="Q66" s="8" t="s">
        <v>278</v>
      </c>
      <c r="R66" s="8" t="s">
        <v>76</v>
      </c>
      <c r="S66" s="8" t="s">
        <v>76</v>
      </c>
      <c r="T66" s="8" t="s">
        <v>279</v>
      </c>
      <c r="U66" s="8" t="s">
        <v>76</v>
      </c>
      <c r="V66" s="8" t="s">
        <v>76</v>
      </c>
      <c r="W66" s="8" t="s">
        <v>76</v>
      </c>
      <c r="X66" s="8" t="s">
        <v>76</v>
      </c>
      <c r="Y66" s="8" t="s">
        <v>76</v>
      </c>
      <c r="Z66" s="8"/>
      <c r="AA66" s="8"/>
      <c r="AB66" s="8" t="s">
        <v>76</v>
      </c>
      <c r="AC66" s="8"/>
    </row>
    <row r="67" spans="1:29" ht="30" customHeight="1" x14ac:dyDescent="0.3">
      <c r="A67" s="8" t="s">
        <v>70</v>
      </c>
      <c r="B67" s="8"/>
      <c r="C67" s="8" t="s">
        <v>280</v>
      </c>
      <c r="D67" s="8" t="s">
        <v>281</v>
      </c>
      <c r="E67" s="8" t="s">
        <v>155</v>
      </c>
      <c r="F67" s="8"/>
      <c r="G67" s="8"/>
      <c r="H67" s="8"/>
      <c r="I67" s="8" t="s">
        <v>74</v>
      </c>
      <c r="J67" s="8" t="s">
        <v>74</v>
      </c>
      <c r="K67" s="8"/>
      <c r="L67" s="8"/>
      <c r="M67" s="8"/>
      <c r="N67" s="8" t="s">
        <v>282</v>
      </c>
      <c r="O67" s="8" t="s">
        <v>283</v>
      </c>
      <c r="P67" s="8" t="s">
        <v>76</v>
      </c>
      <c r="Q67" s="8" t="s">
        <v>284</v>
      </c>
      <c r="R67" s="8" t="s">
        <v>76</v>
      </c>
      <c r="S67" s="8" t="s">
        <v>76</v>
      </c>
      <c r="T67" s="8" t="s">
        <v>285</v>
      </c>
      <c r="U67" s="8" t="s">
        <v>76</v>
      </c>
      <c r="V67" s="8" t="s">
        <v>76</v>
      </c>
      <c r="W67" s="8" t="s">
        <v>76</v>
      </c>
      <c r="X67" s="8" t="s">
        <v>76</v>
      </c>
      <c r="Y67" s="8" t="s">
        <v>76</v>
      </c>
      <c r="Z67" s="8"/>
      <c r="AA67" s="8"/>
      <c r="AB67" s="8" t="s">
        <v>76</v>
      </c>
      <c r="AC67" s="8"/>
    </row>
    <row r="68" spans="1:29" ht="30" customHeight="1" x14ac:dyDescent="0.3">
      <c r="A68" s="8" t="s">
        <v>70</v>
      </c>
      <c r="B68" s="8"/>
      <c r="C68" s="8" t="s">
        <v>286</v>
      </c>
      <c r="D68" s="8" t="s">
        <v>287</v>
      </c>
      <c r="E68" s="8" t="s">
        <v>155</v>
      </c>
      <c r="F68" s="8"/>
      <c r="G68" s="8"/>
      <c r="H68" s="8"/>
      <c r="I68" s="8" t="s">
        <v>74</v>
      </c>
      <c r="J68" s="8" t="s">
        <v>74</v>
      </c>
      <c r="K68" s="8"/>
      <c r="L68" s="8"/>
      <c r="M68" s="8"/>
      <c r="N68" s="8" t="s">
        <v>288</v>
      </c>
      <c r="O68" s="8" t="s">
        <v>289</v>
      </c>
      <c r="P68" s="8" t="s">
        <v>76</v>
      </c>
      <c r="Q68" s="8" t="s">
        <v>290</v>
      </c>
      <c r="R68" s="8" t="s">
        <v>76</v>
      </c>
      <c r="S68" s="8" t="s">
        <v>76</v>
      </c>
      <c r="T68" s="8" t="s">
        <v>291</v>
      </c>
      <c r="U68" s="8" t="s">
        <v>76</v>
      </c>
      <c r="V68" s="8" t="s">
        <v>76</v>
      </c>
      <c r="W68" s="8" t="s">
        <v>76</v>
      </c>
      <c r="X68" s="8" t="s">
        <v>76</v>
      </c>
      <c r="Y68" s="8" t="s">
        <v>76</v>
      </c>
      <c r="Z68" s="8"/>
      <c r="AA68" s="8"/>
      <c r="AB68" s="8" t="s">
        <v>76</v>
      </c>
      <c r="AC68" s="8"/>
    </row>
    <row r="69" spans="1:29" ht="30" customHeight="1" x14ac:dyDescent="0.3">
      <c r="A69" s="8" t="s">
        <v>70</v>
      </c>
      <c r="B69" s="8"/>
      <c r="C69" s="8" t="s">
        <v>292</v>
      </c>
      <c r="D69" s="8" t="s">
        <v>293</v>
      </c>
      <c r="E69" s="8" t="s">
        <v>155</v>
      </c>
      <c r="F69" s="8"/>
      <c r="G69" s="8"/>
      <c r="H69" s="8"/>
      <c r="I69" s="8" t="s">
        <v>74</v>
      </c>
      <c r="J69" s="8" t="s">
        <v>74</v>
      </c>
      <c r="K69" s="8"/>
      <c r="L69" s="8"/>
      <c r="M69" s="8"/>
      <c r="N69" s="8" t="s">
        <v>294</v>
      </c>
      <c r="O69" s="8" t="s">
        <v>295</v>
      </c>
      <c r="P69" s="8" t="s">
        <v>76</v>
      </c>
      <c r="Q69" s="8" t="s">
        <v>296</v>
      </c>
      <c r="R69" s="8" t="s">
        <v>76</v>
      </c>
      <c r="S69" s="8" t="s">
        <v>76</v>
      </c>
      <c r="T69" s="8" t="s">
        <v>297</v>
      </c>
      <c r="U69" s="8" t="s">
        <v>76</v>
      </c>
      <c r="V69" s="8" t="s">
        <v>76</v>
      </c>
      <c r="W69" s="8" t="s">
        <v>76</v>
      </c>
      <c r="X69" s="8" t="s">
        <v>76</v>
      </c>
      <c r="Y69" s="8" t="s">
        <v>76</v>
      </c>
      <c r="Z69" s="8"/>
      <c r="AA69" s="8"/>
      <c r="AB69" s="8" t="s">
        <v>76</v>
      </c>
      <c r="AC69" s="8"/>
    </row>
    <row r="70" spans="1:29" ht="30" customHeight="1" x14ac:dyDescent="0.3">
      <c r="A70" s="8" t="s">
        <v>70</v>
      </c>
      <c r="B70" s="8"/>
      <c r="C70" s="8" t="s">
        <v>298</v>
      </c>
      <c r="D70" s="8" t="s">
        <v>299</v>
      </c>
      <c r="E70" s="8" t="s">
        <v>155</v>
      </c>
      <c r="F70" s="8"/>
      <c r="G70" s="8"/>
      <c r="H70" s="8"/>
      <c r="I70" s="8" t="s">
        <v>74</v>
      </c>
      <c r="J70" s="8" t="s">
        <v>74</v>
      </c>
      <c r="K70" s="8"/>
      <c r="L70" s="8"/>
      <c r="M70" s="8"/>
      <c r="N70" s="8" t="s">
        <v>300</v>
      </c>
      <c r="O70" s="8" t="s">
        <v>301</v>
      </c>
      <c r="P70" s="8" t="s">
        <v>76</v>
      </c>
      <c r="Q70" s="8" t="s">
        <v>302</v>
      </c>
      <c r="R70" s="8" t="s">
        <v>76</v>
      </c>
      <c r="S70" s="8" t="s">
        <v>76</v>
      </c>
      <c r="T70" s="8" t="s">
        <v>303</v>
      </c>
      <c r="U70" s="8" t="s">
        <v>76</v>
      </c>
      <c r="V70" s="8" t="s">
        <v>76</v>
      </c>
      <c r="W70" s="8" t="s">
        <v>76</v>
      </c>
      <c r="X70" s="8" t="s">
        <v>76</v>
      </c>
      <c r="Y70" s="8" t="s">
        <v>76</v>
      </c>
      <c r="Z70" s="8"/>
      <c r="AA70" s="8"/>
      <c r="AB70" s="8" t="s">
        <v>76</v>
      </c>
      <c r="AC70" s="8"/>
    </row>
    <row r="71" spans="1:29" ht="30" customHeight="1" x14ac:dyDescent="0.3">
      <c r="A71" s="8" t="s">
        <v>70</v>
      </c>
      <c r="B71" s="8"/>
      <c r="C71" s="8" t="s">
        <v>304</v>
      </c>
      <c r="D71" s="8" t="s">
        <v>305</v>
      </c>
      <c r="E71" s="8" t="s">
        <v>73</v>
      </c>
      <c r="F71" s="8"/>
      <c r="G71" s="8"/>
      <c r="H71" s="8"/>
      <c r="I71" s="8" t="s">
        <v>74</v>
      </c>
      <c r="J71" s="8" t="s">
        <v>74</v>
      </c>
      <c r="K71" s="8"/>
      <c r="L71" s="8"/>
      <c r="M71" s="8"/>
      <c r="N71" s="8" t="s">
        <v>306</v>
      </c>
      <c r="O71" s="8" t="s">
        <v>307</v>
      </c>
      <c r="P71" s="8" t="s">
        <v>76</v>
      </c>
      <c r="Q71" s="8" t="s">
        <v>308</v>
      </c>
      <c r="R71" s="8" t="s">
        <v>76</v>
      </c>
      <c r="S71" s="8" t="s">
        <v>76</v>
      </c>
      <c r="T71" s="8" t="s">
        <v>309</v>
      </c>
      <c r="U71" s="8" t="s">
        <v>76</v>
      </c>
      <c r="V71" s="8" t="s">
        <v>76</v>
      </c>
      <c r="W71" s="8" t="s">
        <v>76</v>
      </c>
      <c r="X71" s="8" t="s">
        <v>76</v>
      </c>
      <c r="Y71" s="8" t="s">
        <v>76</v>
      </c>
      <c r="Z71" s="8"/>
      <c r="AA71" s="8"/>
      <c r="AB71" s="8" t="s">
        <v>76</v>
      </c>
      <c r="AC71" s="8"/>
    </row>
    <row r="72" spans="1:29" ht="30" customHeight="1" x14ac:dyDescent="0.3">
      <c r="A72" s="8" t="s">
        <v>70</v>
      </c>
      <c r="B72" s="8"/>
      <c r="C72" s="8" t="s">
        <v>310</v>
      </c>
      <c r="D72" s="8" t="s">
        <v>311</v>
      </c>
      <c r="E72" s="8" t="s">
        <v>73</v>
      </c>
      <c r="F72" s="8"/>
      <c r="G72" s="8"/>
      <c r="H72" s="8"/>
      <c r="I72" s="8" t="s">
        <v>74</v>
      </c>
      <c r="J72" s="8" t="s">
        <v>74</v>
      </c>
      <c r="K72" s="8"/>
      <c r="L72" s="8"/>
      <c r="M72" s="8"/>
      <c r="N72" s="8" t="s">
        <v>306</v>
      </c>
      <c r="O72" s="8" t="s">
        <v>307</v>
      </c>
      <c r="P72" s="8" t="s">
        <v>76</v>
      </c>
      <c r="Q72" s="8" t="s">
        <v>308</v>
      </c>
      <c r="R72" s="8" t="s">
        <v>76</v>
      </c>
      <c r="S72" s="8" t="s">
        <v>76</v>
      </c>
      <c r="T72" s="8" t="s">
        <v>309</v>
      </c>
      <c r="U72" s="8" t="s">
        <v>76</v>
      </c>
      <c r="V72" s="8" t="s">
        <v>76</v>
      </c>
      <c r="W72" s="8" t="s">
        <v>76</v>
      </c>
      <c r="X72" s="8" t="s">
        <v>76</v>
      </c>
      <c r="Y72" s="8" t="s">
        <v>76</v>
      </c>
      <c r="Z72" s="8"/>
      <c r="AA72" s="8"/>
      <c r="AB72" s="8" t="s">
        <v>76</v>
      </c>
      <c r="AC72" s="8"/>
    </row>
    <row r="73" spans="1:29" ht="30" customHeight="1" x14ac:dyDescent="0.3">
      <c r="A73" s="8" t="s">
        <v>70</v>
      </c>
      <c r="B73" s="8"/>
      <c r="C73" s="8" t="s">
        <v>312</v>
      </c>
      <c r="D73" s="8" t="s">
        <v>313</v>
      </c>
      <c r="E73" s="8" t="s">
        <v>73</v>
      </c>
      <c r="F73" s="8"/>
      <c r="G73" s="8"/>
      <c r="H73" s="8"/>
      <c r="I73" s="8" t="s">
        <v>74</v>
      </c>
      <c r="J73" s="8" t="s">
        <v>74</v>
      </c>
      <c r="K73" s="8"/>
      <c r="L73" s="8"/>
      <c r="M73" s="8"/>
      <c r="N73" s="8" t="s">
        <v>314</v>
      </c>
      <c r="O73" s="8" t="s">
        <v>315</v>
      </c>
      <c r="P73" s="8" t="s">
        <v>76</v>
      </c>
      <c r="Q73" s="8" t="s">
        <v>316</v>
      </c>
      <c r="R73" s="8" t="s">
        <v>76</v>
      </c>
      <c r="S73" s="8" t="s">
        <v>76</v>
      </c>
      <c r="T73" s="8" t="s">
        <v>317</v>
      </c>
      <c r="U73" s="8" t="s">
        <v>76</v>
      </c>
      <c r="V73" s="8" t="s">
        <v>76</v>
      </c>
      <c r="W73" s="8" t="s">
        <v>76</v>
      </c>
      <c r="X73" s="8" t="s">
        <v>76</v>
      </c>
      <c r="Y73" s="8" t="s">
        <v>76</v>
      </c>
      <c r="Z73" s="8"/>
      <c r="AA73" s="8"/>
      <c r="AB73" s="8" t="s">
        <v>76</v>
      </c>
      <c r="AC73" s="8"/>
    </row>
    <row r="74" spans="1:29" ht="30" customHeight="1" x14ac:dyDescent="0.3">
      <c r="A74" s="8" t="s">
        <v>70</v>
      </c>
      <c r="B74" s="8"/>
      <c r="C74" s="8" t="s">
        <v>318</v>
      </c>
      <c r="D74" s="8" t="s">
        <v>319</v>
      </c>
      <c r="E74" s="8" t="s">
        <v>73</v>
      </c>
      <c r="F74" s="8"/>
      <c r="G74" s="8"/>
      <c r="H74" s="8"/>
      <c r="I74" s="8" t="s">
        <v>74</v>
      </c>
      <c r="J74" s="8" t="s">
        <v>74</v>
      </c>
      <c r="K74" s="8"/>
      <c r="L74" s="8"/>
      <c r="M74" s="8"/>
      <c r="N74" s="8" t="s">
        <v>320</v>
      </c>
      <c r="O74" s="8" t="s">
        <v>321</v>
      </c>
      <c r="P74" s="8" t="s">
        <v>76</v>
      </c>
      <c r="Q74" s="8" t="s">
        <v>322</v>
      </c>
      <c r="R74" s="8" t="s">
        <v>76</v>
      </c>
      <c r="S74" s="8" t="s">
        <v>76</v>
      </c>
      <c r="T74" s="8" t="s">
        <v>323</v>
      </c>
      <c r="U74" s="8" t="s">
        <v>76</v>
      </c>
      <c r="V74" s="8" t="s">
        <v>76</v>
      </c>
      <c r="W74" s="8" t="s">
        <v>76</v>
      </c>
      <c r="X74" s="8" t="s">
        <v>76</v>
      </c>
      <c r="Y74" s="8" t="s">
        <v>76</v>
      </c>
      <c r="Z74" s="8"/>
      <c r="AA74" s="8"/>
      <c r="AB74" s="8" t="s">
        <v>76</v>
      </c>
      <c r="AC74" s="8"/>
    </row>
    <row r="75" spans="1:29" ht="30" customHeight="1" x14ac:dyDescent="0.3">
      <c r="A75" s="8" t="s">
        <v>70</v>
      </c>
      <c r="B75" s="8"/>
      <c r="C75" s="8" t="s">
        <v>324</v>
      </c>
      <c r="D75" s="8" t="s">
        <v>325</v>
      </c>
      <c r="E75" s="8" t="s">
        <v>73</v>
      </c>
      <c r="F75" s="8"/>
      <c r="G75" s="8"/>
      <c r="H75" s="8"/>
      <c r="I75" s="8" t="s">
        <v>74</v>
      </c>
      <c r="J75" s="8" t="s">
        <v>74</v>
      </c>
      <c r="K75" s="8"/>
      <c r="L75" s="8"/>
      <c r="M75" s="8"/>
      <c r="N75" s="8" t="s">
        <v>326</v>
      </c>
      <c r="O75" s="8" t="s">
        <v>327</v>
      </c>
      <c r="P75" s="8" t="s">
        <v>76</v>
      </c>
      <c r="Q75" s="8" t="s">
        <v>328</v>
      </c>
      <c r="R75" s="8" t="s">
        <v>76</v>
      </c>
      <c r="S75" s="8" t="s">
        <v>76</v>
      </c>
      <c r="T75" s="8" t="s">
        <v>329</v>
      </c>
      <c r="U75" s="8" t="s">
        <v>76</v>
      </c>
      <c r="V75" s="8" t="s">
        <v>76</v>
      </c>
      <c r="W75" s="8" t="s">
        <v>76</v>
      </c>
      <c r="X75" s="8" t="s">
        <v>76</v>
      </c>
      <c r="Y75" s="8" t="s">
        <v>76</v>
      </c>
      <c r="Z75" s="8"/>
      <c r="AA75" s="8"/>
      <c r="AB75" s="8" t="s">
        <v>76</v>
      </c>
      <c r="AC75" s="8"/>
    </row>
    <row r="76" spans="1:29" ht="30" customHeight="1" x14ac:dyDescent="0.3">
      <c r="A76" s="8" t="s">
        <v>70</v>
      </c>
      <c r="B76" s="8"/>
      <c r="C76" s="8" t="s">
        <v>330</v>
      </c>
      <c r="D76" s="8" t="s">
        <v>331</v>
      </c>
      <c r="E76" s="8" t="s">
        <v>73</v>
      </c>
      <c r="F76" s="8"/>
      <c r="G76" s="8"/>
      <c r="H76" s="8"/>
      <c r="I76" s="8" t="s">
        <v>74</v>
      </c>
      <c r="J76" s="8" t="s">
        <v>74</v>
      </c>
      <c r="K76" s="8"/>
      <c r="L76" s="8"/>
      <c r="M76" s="8"/>
      <c r="N76" s="8" t="s">
        <v>332</v>
      </c>
      <c r="O76" s="8" t="s">
        <v>333</v>
      </c>
      <c r="P76" s="8" t="s">
        <v>76</v>
      </c>
      <c r="Q76" s="8" t="s">
        <v>334</v>
      </c>
      <c r="R76" s="8" t="s">
        <v>76</v>
      </c>
      <c r="S76" s="8" t="s">
        <v>76</v>
      </c>
      <c r="T76" s="8" t="s">
        <v>335</v>
      </c>
      <c r="U76" s="8" t="s">
        <v>76</v>
      </c>
      <c r="V76" s="8" t="s">
        <v>76</v>
      </c>
      <c r="W76" s="8" t="s">
        <v>76</v>
      </c>
      <c r="X76" s="8" t="s">
        <v>76</v>
      </c>
      <c r="Y76" s="8" t="s">
        <v>76</v>
      </c>
      <c r="Z76" s="8"/>
      <c r="AA76" s="8"/>
      <c r="AB76" s="8" t="s">
        <v>76</v>
      </c>
      <c r="AC76" s="8"/>
    </row>
    <row r="77" spans="1:29" ht="30" customHeight="1" x14ac:dyDescent="0.3">
      <c r="A77" s="8" t="s">
        <v>70</v>
      </c>
      <c r="B77" s="8"/>
      <c r="C77" s="8" t="s">
        <v>336</v>
      </c>
      <c r="D77" s="8" t="s">
        <v>337</v>
      </c>
      <c r="E77" s="8" t="s">
        <v>73</v>
      </c>
      <c r="F77" s="8"/>
      <c r="G77" s="8"/>
      <c r="H77" s="8"/>
      <c r="I77" s="8" t="s">
        <v>74</v>
      </c>
      <c r="J77" s="8" t="s">
        <v>74</v>
      </c>
      <c r="K77" s="8"/>
      <c r="L77" s="8"/>
      <c r="M77" s="8"/>
      <c r="N77" s="8" t="s">
        <v>338</v>
      </c>
      <c r="O77" s="8" t="s">
        <v>339</v>
      </c>
      <c r="P77" s="8" t="s">
        <v>76</v>
      </c>
      <c r="Q77" s="8" t="s">
        <v>340</v>
      </c>
      <c r="R77" s="8" t="s">
        <v>76</v>
      </c>
      <c r="S77" s="8" t="s">
        <v>76</v>
      </c>
      <c r="T77" s="8" t="s">
        <v>341</v>
      </c>
      <c r="U77" s="8" t="s">
        <v>76</v>
      </c>
      <c r="V77" s="8" t="s">
        <v>76</v>
      </c>
      <c r="W77" s="8" t="s">
        <v>76</v>
      </c>
      <c r="X77" s="8" t="s">
        <v>76</v>
      </c>
      <c r="Y77" s="8" t="s">
        <v>76</v>
      </c>
      <c r="Z77" s="8"/>
      <c r="AA77" s="8"/>
      <c r="AB77" s="8" t="s">
        <v>76</v>
      </c>
      <c r="AC77" s="8"/>
    </row>
    <row r="78" spans="1:29" ht="30" customHeight="1" x14ac:dyDescent="0.3">
      <c r="A78" s="8" t="s">
        <v>70</v>
      </c>
      <c r="B78" s="8"/>
      <c r="C78" s="8" t="s">
        <v>342</v>
      </c>
      <c r="D78" s="8" t="s">
        <v>343</v>
      </c>
      <c r="E78" s="8" t="s">
        <v>73</v>
      </c>
      <c r="F78" s="8"/>
      <c r="G78" s="8"/>
      <c r="H78" s="8"/>
      <c r="I78" s="8" t="s">
        <v>74</v>
      </c>
      <c r="J78" s="8" t="s">
        <v>74</v>
      </c>
      <c r="K78" s="8"/>
      <c r="L78" s="8"/>
      <c r="M78" s="8"/>
      <c r="N78" s="8" t="s">
        <v>344</v>
      </c>
      <c r="O78" s="8" t="s">
        <v>345</v>
      </c>
      <c r="P78" s="8" t="s">
        <v>76</v>
      </c>
      <c r="Q78" s="8" t="s">
        <v>346</v>
      </c>
      <c r="R78" s="8" t="s">
        <v>76</v>
      </c>
      <c r="S78" s="8" t="s">
        <v>76</v>
      </c>
      <c r="T78" s="8" t="s">
        <v>347</v>
      </c>
      <c r="U78" s="8" t="s">
        <v>76</v>
      </c>
      <c r="V78" s="8" t="s">
        <v>76</v>
      </c>
      <c r="W78" s="8" t="s">
        <v>76</v>
      </c>
      <c r="X78" s="8" t="s">
        <v>76</v>
      </c>
      <c r="Y78" s="8" t="s">
        <v>76</v>
      </c>
      <c r="Z78" s="8"/>
      <c r="AA78" s="8"/>
      <c r="AB78" s="8" t="s">
        <v>76</v>
      </c>
      <c r="AC78" s="8"/>
    </row>
    <row r="79" spans="1:29" ht="30" customHeight="1" x14ac:dyDescent="0.3">
      <c r="A79" s="8" t="s">
        <v>70</v>
      </c>
      <c r="B79" s="8"/>
      <c r="C79" s="8" t="s">
        <v>348</v>
      </c>
      <c r="D79" s="8" t="s">
        <v>349</v>
      </c>
      <c r="E79" s="8" t="s">
        <v>73</v>
      </c>
      <c r="F79" s="8"/>
      <c r="G79" s="8"/>
      <c r="H79" s="8"/>
      <c r="I79" s="8" t="s">
        <v>74</v>
      </c>
      <c r="J79" s="8" t="s">
        <v>74</v>
      </c>
      <c r="K79" s="8"/>
      <c r="L79" s="8"/>
      <c r="M79" s="8"/>
      <c r="N79" s="8" t="s">
        <v>350</v>
      </c>
      <c r="O79" s="8" t="s">
        <v>351</v>
      </c>
      <c r="P79" s="8" t="s">
        <v>76</v>
      </c>
      <c r="Q79" s="8" t="s">
        <v>352</v>
      </c>
      <c r="R79" s="8" t="s">
        <v>76</v>
      </c>
      <c r="S79" s="8" t="s">
        <v>76</v>
      </c>
      <c r="T79" s="8" t="s">
        <v>353</v>
      </c>
      <c r="U79" s="8" t="s">
        <v>76</v>
      </c>
      <c r="V79" s="8" t="s">
        <v>76</v>
      </c>
      <c r="W79" s="8" t="s">
        <v>76</v>
      </c>
      <c r="X79" s="8" t="s">
        <v>76</v>
      </c>
      <c r="Y79" s="8" t="s">
        <v>76</v>
      </c>
      <c r="Z79" s="8"/>
      <c r="AA79" s="8"/>
      <c r="AB79" s="8" t="s">
        <v>76</v>
      </c>
      <c r="AC79" s="8"/>
    </row>
    <row r="80" spans="1:29" ht="30" customHeight="1" x14ac:dyDescent="0.3">
      <c r="A80" s="8" t="s">
        <v>70</v>
      </c>
      <c r="B80" s="8"/>
      <c r="C80" s="8" t="s">
        <v>354</v>
      </c>
      <c r="D80" s="8" t="s">
        <v>355</v>
      </c>
      <c r="E80" s="8" t="s">
        <v>127</v>
      </c>
      <c r="F80" s="8"/>
      <c r="G80" s="8"/>
      <c r="H80" s="8"/>
      <c r="I80" s="8" t="s">
        <v>74</v>
      </c>
      <c r="J80" s="8" t="s">
        <v>74</v>
      </c>
      <c r="K80" s="8"/>
      <c r="L80" s="8"/>
      <c r="M80" s="8"/>
      <c r="N80" s="8" t="s">
        <v>356</v>
      </c>
      <c r="O80" s="8" t="s">
        <v>357</v>
      </c>
      <c r="P80" s="8" t="s">
        <v>76</v>
      </c>
      <c r="Q80" s="8" t="s">
        <v>358</v>
      </c>
      <c r="R80" s="8" t="s">
        <v>76</v>
      </c>
      <c r="S80" s="8" t="s">
        <v>76</v>
      </c>
      <c r="T80" s="8" t="s">
        <v>359</v>
      </c>
      <c r="U80" s="8" t="s">
        <v>76</v>
      </c>
      <c r="V80" s="8" t="s">
        <v>76</v>
      </c>
      <c r="W80" s="8" t="s">
        <v>76</v>
      </c>
      <c r="X80" s="8" t="s">
        <v>76</v>
      </c>
      <c r="Y80" s="8" t="s">
        <v>76</v>
      </c>
      <c r="Z80" s="8"/>
      <c r="AA80" s="8"/>
      <c r="AB80" s="8" t="s">
        <v>76</v>
      </c>
      <c r="AC80" s="8"/>
    </row>
    <row r="81" spans="1:29" ht="30" customHeight="1" x14ac:dyDescent="0.3">
      <c r="A81" s="8" t="s">
        <v>70</v>
      </c>
      <c r="B81" s="8"/>
      <c r="C81" s="8" t="s">
        <v>360</v>
      </c>
      <c r="D81" s="8" t="s">
        <v>361</v>
      </c>
      <c r="E81" s="8" t="s">
        <v>127</v>
      </c>
      <c r="F81" s="8"/>
      <c r="G81" s="8"/>
      <c r="H81" s="8"/>
      <c r="I81" s="8" t="s">
        <v>74</v>
      </c>
      <c r="J81" s="8" t="s">
        <v>74</v>
      </c>
      <c r="K81" s="8"/>
      <c r="L81" s="8"/>
      <c r="M81" s="8"/>
      <c r="N81" s="8" t="s">
        <v>362</v>
      </c>
      <c r="O81" s="8" t="s">
        <v>363</v>
      </c>
      <c r="P81" s="8" t="s">
        <v>76</v>
      </c>
      <c r="Q81" s="8" t="s">
        <v>364</v>
      </c>
      <c r="R81" s="8" t="s">
        <v>76</v>
      </c>
      <c r="S81" s="8" t="s">
        <v>76</v>
      </c>
      <c r="T81" s="8" t="s">
        <v>365</v>
      </c>
      <c r="U81" s="8" t="s">
        <v>76</v>
      </c>
      <c r="V81" s="8" t="s">
        <v>76</v>
      </c>
      <c r="W81" s="8" t="s">
        <v>76</v>
      </c>
      <c r="X81" s="8" t="s">
        <v>76</v>
      </c>
      <c r="Y81" s="8" t="s">
        <v>76</v>
      </c>
      <c r="Z81" s="8"/>
      <c r="AA81" s="8"/>
      <c r="AB81" s="8" t="s">
        <v>76</v>
      </c>
      <c r="AC81" s="8"/>
    </row>
    <row r="82" spans="1:29" ht="30" customHeight="1" x14ac:dyDescent="0.3">
      <c r="A82" s="8" t="s">
        <v>70</v>
      </c>
      <c r="B82" s="8"/>
      <c r="C82" s="8" t="s">
        <v>366</v>
      </c>
      <c r="D82" s="8" t="s">
        <v>367</v>
      </c>
      <c r="E82" s="8" t="s">
        <v>368</v>
      </c>
      <c r="F82" s="8" t="s">
        <v>201</v>
      </c>
      <c r="G82" s="8"/>
      <c r="H82" s="8" t="s">
        <v>369</v>
      </c>
      <c r="I82" s="8" t="s">
        <v>74</v>
      </c>
      <c r="J82" s="8" t="s">
        <v>74</v>
      </c>
      <c r="K82" s="8"/>
      <c r="L82" s="8"/>
      <c r="M82" s="8"/>
      <c r="N82" s="8" t="s">
        <v>370</v>
      </c>
      <c r="O82" s="8" t="s">
        <v>371</v>
      </c>
      <c r="P82" s="8" t="s">
        <v>76</v>
      </c>
      <c r="Q82" s="8" t="s">
        <v>372</v>
      </c>
      <c r="R82" s="8" t="s">
        <v>76</v>
      </c>
      <c r="S82" s="8" t="s">
        <v>76</v>
      </c>
      <c r="T82" s="8" t="s">
        <v>76</v>
      </c>
      <c r="U82" s="8" t="s">
        <v>76</v>
      </c>
      <c r="V82" s="8" t="s">
        <v>76</v>
      </c>
      <c r="W82" s="8" t="s">
        <v>76</v>
      </c>
      <c r="X82" s="8" t="s">
        <v>76</v>
      </c>
      <c r="Y82" s="8" t="s">
        <v>76</v>
      </c>
      <c r="Z82" s="8"/>
      <c r="AA82" s="8"/>
      <c r="AB82" s="8" t="s">
        <v>76</v>
      </c>
      <c r="AC82" s="8"/>
    </row>
    <row r="83" spans="1:29" ht="30" customHeight="1" x14ac:dyDescent="0.3">
      <c r="A83" s="8" t="s">
        <v>373</v>
      </c>
      <c r="B83" s="8"/>
      <c r="C83" s="8" t="s">
        <v>374</v>
      </c>
      <c r="D83" s="8" t="s">
        <v>375</v>
      </c>
      <c r="E83" s="8" t="s">
        <v>368</v>
      </c>
      <c r="F83" s="8" t="s">
        <v>201</v>
      </c>
      <c r="G83" s="8"/>
      <c r="H83" s="8" t="s">
        <v>369</v>
      </c>
      <c r="I83" s="8" t="s">
        <v>74</v>
      </c>
      <c r="J83" s="8" t="s">
        <v>74</v>
      </c>
      <c r="K83" s="8"/>
      <c r="L83" s="8"/>
      <c r="M83" s="8"/>
      <c r="N83" s="8" t="s">
        <v>376</v>
      </c>
      <c r="O83" s="8" t="s">
        <v>377</v>
      </c>
      <c r="P83" s="8" t="s">
        <v>76</v>
      </c>
      <c r="Q83" s="8" t="s">
        <v>378</v>
      </c>
      <c r="R83" s="8" t="s">
        <v>76</v>
      </c>
      <c r="S83" s="8" t="s">
        <v>76</v>
      </c>
      <c r="T83" s="8" t="s">
        <v>76</v>
      </c>
      <c r="U83" s="8" t="s">
        <v>76</v>
      </c>
      <c r="V83" s="8" t="s">
        <v>76</v>
      </c>
      <c r="W83" s="8" t="s">
        <v>76</v>
      </c>
      <c r="X83" s="8" t="s">
        <v>76</v>
      </c>
      <c r="Y83" s="8" t="s">
        <v>76</v>
      </c>
      <c r="Z83" s="8"/>
      <c r="AA83" s="8"/>
      <c r="AB83" s="8" t="s">
        <v>76</v>
      </c>
      <c r="AC83" s="8"/>
    </row>
    <row r="84" spans="1:29" ht="30" customHeight="1" x14ac:dyDescent="0.3">
      <c r="A84" s="8" t="s">
        <v>70</v>
      </c>
      <c r="B84" s="8"/>
      <c r="C84" s="8" t="s">
        <v>379</v>
      </c>
      <c r="D84" s="8" t="s">
        <v>380</v>
      </c>
      <c r="E84" s="8" t="s">
        <v>368</v>
      </c>
      <c r="F84" s="8" t="s">
        <v>201</v>
      </c>
      <c r="G84" s="8"/>
      <c r="H84" s="8" t="s">
        <v>381</v>
      </c>
      <c r="I84" s="8" t="s">
        <v>74</v>
      </c>
      <c r="J84" s="8" t="s">
        <v>74</v>
      </c>
      <c r="K84" s="8"/>
      <c r="L84" s="8"/>
      <c r="M84" s="8"/>
      <c r="N84" s="8" t="s">
        <v>382</v>
      </c>
      <c r="O84" s="8" t="s">
        <v>383</v>
      </c>
      <c r="P84" s="8" t="s">
        <v>76</v>
      </c>
      <c r="Q84" s="8" t="s">
        <v>384</v>
      </c>
      <c r="R84" s="8" t="s">
        <v>76</v>
      </c>
      <c r="S84" s="8" t="s">
        <v>76</v>
      </c>
      <c r="T84" s="8" t="s">
        <v>76</v>
      </c>
      <c r="U84" s="8" t="s">
        <v>76</v>
      </c>
      <c r="V84" s="8" t="s">
        <v>76</v>
      </c>
      <c r="W84" s="8" t="s">
        <v>76</v>
      </c>
      <c r="X84" s="8" t="s">
        <v>76</v>
      </c>
      <c r="Y84" s="8" t="s">
        <v>76</v>
      </c>
      <c r="Z84" s="8"/>
      <c r="AA84" s="8"/>
      <c r="AB84" s="8" t="s">
        <v>76</v>
      </c>
      <c r="AC84" s="8"/>
    </row>
    <row r="85" spans="1:29" ht="30" customHeight="1" x14ac:dyDescent="0.3">
      <c r="A85" s="8" t="s">
        <v>373</v>
      </c>
      <c r="B85" s="8"/>
      <c r="C85" s="8" t="s">
        <v>385</v>
      </c>
      <c r="D85" s="8" t="s">
        <v>386</v>
      </c>
      <c r="E85" s="8" t="s">
        <v>368</v>
      </c>
      <c r="F85" s="8" t="s">
        <v>201</v>
      </c>
      <c r="G85" s="8"/>
      <c r="H85" s="8" t="s">
        <v>381</v>
      </c>
      <c r="I85" s="8" t="s">
        <v>74</v>
      </c>
      <c r="J85" s="8" t="s">
        <v>74</v>
      </c>
      <c r="K85" s="8"/>
      <c r="L85" s="8"/>
      <c r="M85" s="8"/>
      <c r="N85" s="8" t="s">
        <v>387</v>
      </c>
      <c r="O85" s="8" t="s">
        <v>388</v>
      </c>
      <c r="P85" s="8" t="s">
        <v>76</v>
      </c>
      <c r="Q85" s="8" t="s">
        <v>389</v>
      </c>
      <c r="R85" s="8" t="s">
        <v>76</v>
      </c>
      <c r="S85" s="8" t="s">
        <v>76</v>
      </c>
      <c r="T85" s="8" t="s">
        <v>76</v>
      </c>
      <c r="U85" s="8" t="s">
        <v>76</v>
      </c>
      <c r="V85" s="8" t="s">
        <v>76</v>
      </c>
      <c r="W85" s="8" t="s">
        <v>76</v>
      </c>
      <c r="X85" s="8" t="s">
        <v>76</v>
      </c>
      <c r="Y85" s="8" t="s">
        <v>76</v>
      </c>
      <c r="Z85" s="8"/>
      <c r="AA85" s="8"/>
      <c r="AB85" s="8" t="s">
        <v>76</v>
      </c>
      <c r="AC85" s="8"/>
    </row>
    <row r="86" spans="1:29" ht="30" customHeight="1" x14ac:dyDescent="0.3">
      <c r="A86" s="8" t="s">
        <v>70</v>
      </c>
      <c r="B86" s="8"/>
      <c r="C86" s="8" t="s">
        <v>390</v>
      </c>
      <c r="D86" s="8" t="s">
        <v>391</v>
      </c>
      <c r="E86" s="8" t="s">
        <v>368</v>
      </c>
      <c r="F86" s="8" t="s">
        <v>230</v>
      </c>
      <c r="G86" s="8"/>
      <c r="H86" s="8" t="s">
        <v>392</v>
      </c>
      <c r="I86" s="8" t="s">
        <v>74</v>
      </c>
      <c r="J86" s="8" t="s">
        <v>74</v>
      </c>
      <c r="K86" s="8"/>
      <c r="L86" s="8"/>
      <c r="M86" s="8"/>
      <c r="N86" s="8" t="s">
        <v>393</v>
      </c>
      <c r="O86" s="8" t="s">
        <v>394</v>
      </c>
      <c r="P86" s="8" t="s">
        <v>76</v>
      </c>
      <c r="Q86" s="8" t="s">
        <v>395</v>
      </c>
      <c r="R86" s="8" t="s">
        <v>76</v>
      </c>
      <c r="S86" s="8" t="s">
        <v>76</v>
      </c>
      <c r="T86" s="8" t="s">
        <v>76</v>
      </c>
      <c r="U86" s="8" t="s">
        <v>76</v>
      </c>
      <c r="V86" s="8" t="s">
        <v>76</v>
      </c>
      <c r="W86" s="8" t="s">
        <v>76</v>
      </c>
      <c r="X86" s="8" t="s">
        <v>76</v>
      </c>
      <c r="Y86" s="8" t="s">
        <v>76</v>
      </c>
      <c r="Z86" s="8"/>
      <c r="AA86" s="8"/>
      <c r="AB86" s="8" t="s">
        <v>76</v>
      </c>
      <c r="AC86" s="8"/>
    </row>
    <row r="87" spans="1:29" ht="30" customHeight="1" x14ac:dyDescent="0.3">
      <c r="A87" s="8" t="s">
        <v>373</v>
      </c>
      <c r="B87" s="8"/>
      <c r="C87" s="8" t="s">
        <v>396</v>
      </c>
      <c r="D87" s="8" t="s">
        <v>397</v>
      </c>
      <c r="E87" s="8" t="s">
        <v>368</v>
      </c>
      <c r="F87" s="8" t="s">
        <v>230</v>
      </c>
      <c r="G87" s="8"/>
      <c r="H87" s="8" t="s">
        <v>392</v>
      </c>
      <c r="I87" s="8" t="s">
        <v>74</v>
      </c>
      <c r="J87" s="8" t="s">
        <v>74</v>
      </c>
      <c r="K87" s="8"/>
      <c r="L87" s="8"/>
      <c r="M87" s="8"/>
      <c r="N87" s="8" t="s">
        <v>398</v>
      </c>
      <c r="O87" s="8" t="s">
        <v>399</v>
      </c>
      <c r="P87" s="8" t="s">
        <v>76</v>
      </c>
      <c r="Q87" s="8" t="s">
        <v>400</v>
      </c>
      <c r="R87" s="8" t="s">
        <v>76</v>
      </c>
      <c r="S87" s="8" t="s">
        <v>76</v>
      </c>
      <c r="T87" s="8" t="s">
        <v>76</v>
      </c>
      <c r="U87" s="8" t="s">
        <v>76</v>
      </c>
      <c r="V87" s="8" t="s">
        <v>76</v>
      </c>
      <c r="W87" s="8" t="s">
        <v>76</v>
      </c>
      <c r="X87" s="8" t="s">
        <v>76</v>
      </c>
      <c r="Y87" s="8" t="s">
        <v>76</v>
      </c>
      <c r="Z87" s="8"/>
      <c r="AA87" s="8"/>
      <c r="AB87" s="8" t="s">
        <v>76</v>
      </c>
      <c r="AC87" s="8"/>
    </row>
    <row r="88" spans="1:29" ht="30" customHeight="1" x14ac:dyDescent="0.3">
      <c r="A88" s="8" t="s">
        <v>70</v>
      </c>
      <c r="B88" s="8"/>
      <c r="C88" s="8" t="s">
        <v>401</v>
      </c>
      <c r="D88" s="8" t="s">
        <v>402</v>
      </c>
      <c r="E88" s="8" t="s">
        <v>368</v>
      </c>
      <c r="F88" s="8" t="s">
        <v>230</v>
      </c>
      <c r="G88" s="8"/>
      <c r="H88" s="8" t="s">
        <v>403</v>
      </c>
      <c r="I88" s="8" t="s">
        <v>74</v>
      </c>
      <c r="J88" s="8" t="s">
        <v>74</v>
      </c>
      <c r="K88" s="8"/>
      <c r="L88" s="8"/>
      <c r="M88" s="8"/>
      <c r="N88" s="8" t="s">
        <v>404</v>
      </c>
      <c r="O88" s="8" t="s">
        <v>405</v>
      </c>
      <c r="P88" s="8" t="s">
        <v>76</v>
      </c>
      <c r="Q88" s="8" t="s">
        <v>406</v>
      </c>
      <c r="R88" s="8" t="s">
        <v>76</v>
      </c>
      <c r="S88" s="8" t="s">
        <v>76</v>
      </c>
      <c r="T88" s="8" t="s">
        <v>76</v>
      </c>
      <c r="U88" s="8" t="s">
        <v>76</v>
      </c>
      <c r="V88" s="8" t="s">
        <v>76</v>
      </c>
      <c r="W88" s="8" t="s">
        <v>76</v>
      </c>
      <c r="X88" s="8" t="s">
        <v>76</v>
      </c>
      <c r="Y88" s="8" t="s">
        <v>76</v>
      </c>
      <c r="Z88" s="8"/>
      <c r="AA88" s="8"/>
      <c r="AB88" s="8" t="s">
        <v>76</v>
      </c>
      <c r="AC88" s="8"/>
    </row>
    <row r="89" spans="1:29" ht="30" customHeight="1" x14ac:dyDescent="0.3">
      <c r="A89" s="8" t="s">
        <v>373</v>
      </c>
      <c r="B89" s="8"/>
      <c r="C89" s="8" t="s">
        <v>407</v>
      </c>
      <c r="D89" s="8" t="s">
        <v>408</v>
      </c>
      <c r="E89" s="8" t="s">
        <v>368</v>
      </c>
      <c r="F89" s="8" t="s">
        <v>230</v>
      </c>
      <c r="G89" s="8"/>
      <c r="H89" s="8" t="s">
        <v>403</v>
      </c>
      <c r="I89" s="8" t="s">
        <v>74</v>
      </c>
      <c r="J89" s="8" t="s">
        <v>74</v>
      </c>
      <c r="K89" s="8"/>
      <c r="L89" s="8"/>
      <c r="M89" s="8"/>
      <c r="N89" s="8" t="s">
        <v>409</v>
      </c>
      <c r="O89" s="8" t="s">
        <v>410</v>
      </c>
      <c r="P89" s="8" t="s">
        <v>76</v>
      </c>
      <c r="Q89" s="8" t="s">
        <v>411</v>
      </c>
      <c r="R89" s="8" t="s">
        <v>76</v>
      </c>
      <c r="S89" s="8" t="s">
        <v>76</v>
      </c>
      <c r="T89" s="8" t="s">
        <v>76</v>
      </c>
      <c r="U89" s="8" t="s">
        <v>76</v>
      </c>
      <c r="V89" s="8" t="s">
        <v>76</v>
      </c>
      <c r="W89" s="8" t="s">
        <v>76</v>
      </c>
      <c r="X89" s="8" t="s">
        <v>76</v>
      </c>
      <c r="Y89" s="8" t="s">
        <v>76</v>
      </c>
      <c r="Z89" s="8"/>
      <c r="AA89" s="8"/>
      <c r="AB89" s="8" t="s">
        <v>76</v>
      </c>
      <c r="AC89" s="8"/>
    </row>
    <row r="90" spans="1:29" ht="30" customHeight="1" x14ac:dyDescent="0.3">
      <c r="A90" s="8" t="s">
        <v>373</v>
      </c>
      <c r="B90" s="8"/>
      <c r="C90" s="8" t="s">
        <v>412</v>
      </c>
      <c r="D90" s="8" t="s">
        <v>413</v>
      </c>
      <c r="E90" s="8" t="s">
        <v>414</v>
      </c>
      <c r="F90" s="8" t="s">
        <v>201</v>
      </c>
      <c r="G90" s="8"/>
      <c r="H90" s="8" t="s">
        <v>415</v>
      </c>
      <c r="I90" s="8" t="s">
        <v>74</v>
      </c>
      <c r="J90" s="8" t="s">
        <v>74</v>
      </c>
      <c r="K90" s="8"/>
      <c r="L90" s="8"/>
      <c r="M90" s="8"/>
      <c r="N90" s="8" t="s">
        <v>416</v>
      </c>
      <c r="O90" s="8" t="s">
        <v>417</v>
      </c>
      <c r="P90" s="8" t="s">
        <v>76</v>
      </c>
      <c r="Q90" s="8" t="s">
        <v>418</v>
      </c>
      <c r="R90" s="8" t="s">
        <v>76</v>
      </c>
      <c r="S90" s="8" t="s">
        <v>76</v>
      </c>
      <c r="T90" s="8" t="s">
        <v>76</v>
      </c>
      <c r="U90" s="8" t="s">
        <v>76</v>
      </c>
      <c r="V90" s="8" t="s">
        <v>76</v>
      </c>
      <c r="W90" s="8" t="s">
        <v>76</v>
      </c>
      <c r="X90" s="8" t="s">
        <v>76</v>
      </c>
      <c r="Y90" s="8" t="s">
        <v>76</v>
      </c>
      <c r="Z90" s="8"/>
      <c r="AA90" s="8"/>
      <c r="AB90" s="8" t="s">
        <v>76</v>
      </c>
      <c r="AC90" s="8"/>
    </row>
    <row r="91" spans="1:29" ht="30" customHeight="1" x14ac:dyDescent="0.3">
      <c r="A91" s="8" t="s">
        <v>373</v>
      </c>
      <c r="B91" s="8"/>
      <c r="C91" s="8" t="s">
        <v>419</v>
      </c>
      <c r="D91" s="8" t="s">
        <v>420</v>
      </c>
      <c r="E91" s="8" t="s">
        <v>414</v>
      </c>
      <c r="F91" s="8" t="s">
        <v>201</v>
      </c>
      <c r="G91" s="8"/>
      <c r="H91" s="8" t="s">
        <v>421</v>
      </c>
      <c r="I91" s="8" t="s">
        <v>74</v>
      </c>
      <c r="J91" s="8" t="s">
        <v>74</v>
      </c>
      <c r="K91" s="8"/>
      <c r="L91" s="8"/>
      <c r="M91" s="8"/>
      <c r="N91" s="8" t="s">
        <v>422</v>
      </c>
      <c r="O91" s="8" t="s">
        <v>423</v>
      </c>
      <c r="P91" s="8" t="s">
        <v>76</v>
      </c>
      <c r="Q91" s="8" t="s">
        <v>424</v>
      </c>
      <c r="R91" s="8" t="s">
        <v>76</v>
      </c>
      <c r="S91" s="8" t="s">
        <v>76</v>
      </c>
      <c r="T91" s="8" t="s">
        <v>76</v>
      </c>
      <c r="U91" s="8" t="s">
        <v>76</v>
      </c>
      <c r="V91" s="8" t="s">
        <v>76</v>
      </c>
      <c r="W91" s="8" t="s">
        <v>76</v>
      </c>
      <c r="X91" s="8" t="s">
        <v>76</v>
      </c>
      <c r="Y91" s="8" t="s">
        <v>76</v>
      </c>
      <c r="Z91" s="8"/>
      <c r="AA91" s="8"/>
      <c r="AB91" s="8" t="s">
        <v>76</v>
      </c>
      <c r="AC91" s="8"/>
    </row>
    <row r="92" spans="1:29" ht="30" customHeight="1" x14ac:dyDescent="0.3">
      <c r="A92" s="8" t="s">
        <v>373</v>
      </c>
      <c r="B92" s="8"/>
      <c r="C92" s="8" t="s">
        <v>425</v>
      </c>
      <c r="D92" s="8" t="s">
        <v>426</v>
      </c>
      <c r="E92" s="8" t="s">
        <v>414</v>
      </c>
      <c r="F92" s="8" t="s">
        <v>201</v>
      </c>
      <c r="G92" s="8"/>
      <c r="H92" s="8" t="s">
        <v>427</v>
      </c>
      <c r="I92" s="8" t="s">
        <v>74</v>
      </c>
      <c r="J92" s="8" t="s">
        <v>74</v>
      </c>
      <c r="K92" s="8"/>
      <c r="L92" s="8"/>
      <c r="M92" s="8"/>
      <c r="N92" s="8" t="s">
        <v>428</v>
      </c>
      <c r="O92" s="8" t="s">
        <v>429</v>
      </c>
      <c r="P92" s="8" t="s">
        <v>76</v>
      </c>
      <c r="Q92" s="8" t="s">
        <v>430</v>
      </c>
      <c r="R92" s="8" t="s">
        <v>76</v>
      </c>
      <c r="S92" s="8" t="s">
        <v>76</v>
      </c>
      <c r="T92" s="8" t="s">
        <v>76</v>
      </c>
      <c r="U92" s="8" t="s">
        <v>76</v>
      </c>
      <c r="V92" s="8" t="s">
        <v>76</v>
      </c>
      <c r="W92" s="8" t="s">
        <v>76</v>
      </c>
      <c r="X92" s="8" t="s">
        <v>76</v>
      </c>
      <c r="Y92" s="8" t="s">
        <v>76</v>
      </c>
      <c r="Z92" s="8"/>
      <c r="AA92" s="8"/>
      <c r="AB92" s="8" t="s">
        <v>76</v>
      </c>
      <c r="AC92" s="8"/>
    </row>
    <row r="93" spans="1:29" ht="30" customHeight="1" x14ac:dyDescent="0.3">
      <c r="A93" s="8" t="s">
        <v>70</v>
      </c>
      <c r="B93" s="8"/>
      <c r="C93" s="8" t="s">
        <v>431</v>
      </c>
      <c r="D93" s="8" t="s">
        <v>432</v>
      </c>
      <c r="E93" s="8" t="s">
        <v>414</v>
      </c>
      <c r="F93" s="8" t="s">
        <v>201</v>
      </c>
      <c r="G93" s="8"/>
      <c r="H93" s="8" t="s">
        <v>421</v>
      </c>
      <c r="I93" s="8" t="s">
        <v>74</v>
      </c>
      <c r="J93" s="8" t="s">
        <v>74</v>
      </c>
      <c r="K93" s="8"/>
      <c r="L93" s="8"/>
      <c r="M93" s="8"/>
      <c r="N93" s="8" t="s">
        <v>433</v>
      </c>
      <c r="O93" s="8" t="s">
        <v>434</v>
      </c>
      <c r="P93" s="8" t="s">
        <v>76</v>
      </c>
      <c r="Q93" s="8" t="s">
        <v>435</v>
      </c>
      <c r="R93" s="8" t="s">
        <v>76</v>
      </c>
      <c r="S93" s="8" t="s">
        <v>76</v>
      </c>
      <c r="T93" s="8" t="s">
        <v>76</v>
      </c>
      <c r="U93" s="8" t="s">
        <v>76</v>
      </c>
      <c r="V93" s="8" t="s">
        <v>76</v>
      </c>
      <c r="W93" s="8" t="s">
        <v>76</v>
      </c>
      <c r="X93" s="8" t="s">
        <v>76</v>
      </c>
      <c r="Y93" s="8" t="s">
        <v>76</v>
      </c>
      <c r="Z93" s="8"/>
      <c r="AA93" s="8"/>
      <c r="AB93" s="8" t="s">
        <v>76</v>
      </c>
      <c r="AC93" s="8"/>
    </row>
    <row r="94" spans="1:29" ht="30" customHeight="1" x14ac:dyDescent="0.3">
      <c r="A94" s="8" t="s">
        <v>373</v>
      </c>
      <c r="B94" s="8"/>
      <c r="C94" s="8" t="s">
        <v>436</v>
      </c>
      <c r="D94" s="8" t="s">
        <v>437</v>
      </c>
      <c r="E94" s="8" t="s">
        <v>414</v>
      </c>
      <c r="F94" s="8" t="s">
        <v>201</v>
      </c>
      <c r="G94" s="8"/>
      <c r="H94" s="8" t="s">
        <v>421</v>
      </c>
      <c r="I94" s="8" t="s">
        <v>74</v>
      </c>
      <c r="J94" s="8" t="s">
        <v>74</v>
      </c>
      <c r="K94" s="8"/>
      <c r="L94" s="8"/>
      <c r="M94" s="8"/>
      <c r="N94" s="8" t="s">
        <v>438</v>
      </c>
      <c r="O94" s="8" t="s">
        <v>439</v>
      </c>
      <c r="P94" s="8" t="s">
        <v>76</v>
      </c>
      <c r="Q94" s="8" t="s">
        <v>440</v>
      </c>
      <c r="R94" s="8" t="s">
        <v>76</v>
      </c>
      <c r="S94" s="8" t="s">
        <v>76</v>
      </c>
      <c r="T94" s="8" t="s">
        <v>76</v>
      </c>
      <c r="U94" s="8" t="s">
        <v>76</v>
      </c>
      <c r="V94" s="8" t="s">
        <v>76</v>
      </c>
      <c r="W94" s="8" t="s">
        <v>76</v>
      </c>
      <c r="X94" s="8" t="s">
        <v>76</v>
      </c>
      <c r="Y94" s="8" t="s">
        <v>76</v>
      </c>
      <c r="Z94" s="8"/>
      <c r="AA94" s="8"/>
      <c r="AB94" s="8" t="s">
        <v>76</v>
      </c>
      <c r="AC94" s="8"/>
    </row>
    <row r="95" spans="1:29" ht="30" customHeight="1" x14ac:dyDescent="0.3">
      <c r="A95" s="8" t="s">
        <v>373</v>
      </c>
      <c r="B95" s="8"/>
      <c r="C95" s="8" t="s">
        <v>441</v>
      </c>
      <c r="D95" s="8" t="s">
        <v>442</v>
      </c>
      <c r="E95" s="8" t="s">
        <v>414</v>
      </c>
      <c r="F95" s="8" t="s">
        <v>201</v>
      </c>
      <c r="G95" s="8"/>
      <c r="H95" s="8" t="s">
        <v>443</v>
      </c>
      <c r="I95" s="8" t="s">
        <v>74</v>
      </c>
      <c r="J95" s="8" t="s">
        <v>74</v>
      </c>
      <c r="K95" s="8"/>
      <c r="L95" s="8"/>
      <c r="M95" s="8"/>
      <c r="N95" s="8" t="s">
        <v>444</v>
      </c>
      <c r="O95" s="8" t="s">
        <v>445</v>
      </c>
      <c r="P95" s="8" t="s">
        <v>76</v>
      </c>
      <c r="Q95" s="8" t="s">
        <v>446</v>
      </c>
      <c r="R95" s="8" t="s">
        <v>76</v>
      </c>
      <c r="S95" s="8" t="s">
        <v>76</v>
      </c>
      <c r="T95" s="8" t="s">
        <v>76</v>
      </c>
      <c r="U95" s="8" t="s">
        <v>76</v>
      </c>
      <c r="V95" s="8" t="s">
        <v>76</v>
      </c>
      <c r="W95" s="8" t="s">
        <v>76</v>
      </c>
      <c r="X95" s="8" t="s">
        <v>76</v>
      </c>
      <c r="Y95" s="8" t="s">
        <v>76</v>
      </c>
      <c r="Z95" s="8"/>
      <c r="AA95" s="8"/>
      <c r="AB95" s="8" t="s">
        <v>76</v>
      </c>
      <c r="AC95" s="8"/>
    </row>
    <row r="96" spans="1:29" ht="30" customHeight="1" x14ac:dyDescent="0.3">
      <c r="A96" s="8" t="s">
        <v>373</v>
      </c>
      <c r="B96" s="8"/>
      <c r="C96" s="8" t="s">
        <v>447</v>
      </c>
      <c r="D96" s="8" t="s">
        <v>448</v>
      </c>
      <c r="E96" s="8" t="s">
        <v>414</v>
      </c>
      <c r="F96" s="8" t="s">
        <v>201</v>
      </c>
      <c r="G96" s="8"/>
      <c r="H96" s="8" t="s">
        <v>449</v>
      </c>
      <c r="I96" s="8" t="s">
        <v>74</v>
      </c>
      <c r="J96" s="8" t="s">
        <v>74</v>
      </c>
      <c r="K96" s="8"/>
      <c r="L96" s="8"/>
      <c r="M96" s="8"/>
      <c r="N96" s="8" t="s">
        <v>450</v>
      </c>
      <c r="O96" s="8" t="s">
        <v>451</v>
      </c>
      <c r="P96" s="8" t="s">
        <v>76</v>
      </c>
      <c r="Q96" s="8" t="s">
        <v>452</v>
      </c>
      <c r="R96" s="8" t="s">
        <v>76</v>
      </c>
      <c r="S96" s="8" t="s">
        <v>76</v>
      </c>
      <c r="T96" s="8" t="s">
        <v>76</v>
      </c>
      <c r="U96" s="8" t="s">
        <v>76</v>
      </c>
      <c r="V96" s="8" t="s">
        <v>76</v>
      </c>
      <c r="W96" s="8" t="s">
        <v>76</v>
      </c>
      <c r="X96" s="8" t="s">
        <v>76</v>
      </c>
      <c r="Y96" s="8" t="s">
        <v>76</v>
      </c>
      <c r="Z96" s="8"/>
      <c r="AA96" s="8"/>
      <c r="AB96" s="8" t="s">
        <v>76</v>
      </c>
      <c r="AC96" s="8"/>
    </row>
    <row r="97" spans="1:29" ht="30" customHeight="1" x14ac:dyDescent="0.3">
      <c r="A97" s="8" t="s">
        <v>373</v>
      </c>
      <c r="B97" s="8"/>
      <c r="C97" s="8" t="s">
        <v>453</v>
      </c>
      <c r="D97" s="8" t="s">
        <v>454</v>
      </c>
      <c r="E97" s="8" t="s">
        <v>414</v>
      </c>
      <c r="F97" s="8" t="s">
        <v>230</v>
      </c>
      <c r="G97" s="8"/>
      <c r="H97" s="8" t="s">
        <v>455</v>
      </c>
      <c r="I97" s="8" t="s">
        <v>74</v>
      </c>
      <c r="J97" s="8" t="s">
        <v>74</v>
      </c>
      <c r="K97" s="8"/>
      <c r="L97" s="8"/>
      <c r="M97" s="8"/>
      <c r="N97" s="8" t="s">
        <v>456</v>
      </c>
      <c r="O97" s="8" t="s">
        <v>457</v>
      </c>
      <c r="P97" s="8" t="s">
        <v>76</v>
      </c>
      <c r="Q97" s="8" t="s">
        <v>458</v>
      </c>
      <c r="R97" s="8" t="s">
        <v>76</v>
      </c>
      <c r="S97" s="8" t="s">
        <v>76</v>
      </c>
      <c r="T97" s="8" t="s">
        <v>76</v>
      </c>
      <c r="U97" s="8" t="s">
        <v>76</v>
      </c>
      <c r="V97" s="8" t="s">
        <v>76</v>
      </c>
      <c r="W97" s="8" t="s">
        <v>76</v>
      </c>
      <c r="X97" s="8" t="s">
        <v>76</v>
      </c>
      <c r="Y97" s="8" t="s">
        <v>76</v>
      </c>
      <c r="Z97" s="8"/>
      <c r="AA97" s="8"/>
      <c r="AB97" s="8" t="s">
        <v>76</v>
      </c>
      <c r="AC97" s="8"/>
    </row>
    <row r="98" spans="1:29" ht="30" customHeight="1" x14ac:dyDescent="0.3">
      <c r="A98" s="8" t="s">
        <v>373</v>
      </c>
      <c r="B98" s="8"/>
      <c r="C98" s="8" t="s">
        <v>459</v>
      </c>
      <c r="D98" s="8" t="s">
        <v>460</v>
      </c>
      <c r="E98" s="8" t="s">
        <v>414</v>
      </c>
      <c r="F98" s="8" t="s">
        <v>230</v>
      </c>
      <c r="G98" s="8"/>
      <c r="H98" s="8" t="s">
        <v>461</v>
      </c>
      <c r="I98" s="8" t="s">
        <v>74</v>
      </c>
      <c r="J98" s="8" t="s">
        <v>74</v>
      </c>
      <c r="K98" s="8"/>
      <c r="L98" s="8"/>
      <c r="M98" s="8"/>
      <c r="N98" s="8" t="s">
        <v>462</v>
      </c>
      <c r="O98" s="8" t="s">
        <v>463</v>
      </c>
      <c r="P98" s="8" t="s">
        <v>76</v>
      </c>
      <c r="Q98" s="8" t="s">
        <v>464</v>
      </c>
      <c r="R98" s="8" t="s">
        <v>76</v>
      </c>
      <c r="S98" s="8" t="s">
        <v>76</v>
      </c>
      <c r="T98" s="8" t="s">
        <v>76</v>
      </c>
      <c r="U98" s="8" t="s">
        <v>76</v>
      </c>
      <c r="V98" s="8" t="s">
        <v>76</v>
      </c>
      <c r="W98" s="8" t="s">
        <v>76</v>
      </c>
      <c r="X98" s="8" t="s">
        <v>76</v>
      </c>
      <c r="Y98" s="8" t="s">
        <v>76</v>
      </c>
      <c r="Z98" s="8"/>
      <c r="AA98" s="8"/>
      <c r="AB98" s="8" t="s">
        <v>76</v>
      </c>
      <c r="AC98" s="8"/>
    </row>
    <row r="99" spans="1:29" ht="30" customHeight="1" x14ac:dyDescent="0.3">
      <c r="A99" s="8" t="s">
        <v>373</v>
      </c>
      <c r="B99" s="8"/>
      <c r="C99" s="8" t="s">
        <v>465</v>
      </c>
      <c r="D99" s="8" t="s">
        <v>466</v>
      </c>
      <c r="E99" s="8" t="s">
        <v>414</v>
      </c>
      <c r="F99" s="8" t="s">
        <v>230</v>
      </c>
      <c r="G99" s="8"/>
      <c r="H99" s="8" t="s">
        <v>467</v>
      </c>
      <c r="I99" s="8" t="s">
        <v>74</v>
      </c>
      <c r="J99" s="8" t="s">
        <v>74</v>
      </c>
      <c r="K99" s="8"/>
      <c r="L99" s="8"/>
      <c r="M99" s="8"/>
      <c r="N99" s="8" t="s">
        <v>468</v>
      </c>
      <c r="O99" s="8" t="s">
        <v>469</v>
      </c>
      <c r="P99" s="8" t="s">
        <v>76</v>
      </c>
      <c r="Q99" s="8" t="s">
        <v>470</v>
      </c>
      <c r="R99" s="8" t="s">
        <v>76</v>
      </c>
      <c r="S99" s="8" t="s">
        <v>76</v>
      </c>
      <c r="T99" s="8" t="s">
        <v>76</v>
      </c>
      <c r="U99" s="8" t="s">
        <v>76</v>
      </c>
      <c r="V99" s="8" t="s">
        <v>76</v>
      </c>
      <c r="W99" s="8" t="s">
        <v>76</v>
      </c>
      <c r="X99" s="8" t="s">
        <v>76</v>
      </c>
      <c r="Y99" s="8" t="s">
        <v>76</v>
      </c>
      <c r="Z99" s="8"/>
      <c r="AA99" s="8"/>
      <c r="AB99" s="8" t="s">
        <v>76</v>
      </c>
      <c r="AC99" s="8"/>
    </row>
    <row r="100" spans="1:29" ht="30" customHeight="1" x14ac:dyDescent="0.3">
      <c r="A100" s="8" t="s">
        <v>373</v>
      </c>
      <c r="B100" s="8"/>
      <c r="C100" s="8" t="s">
        <v>471</v>
      </c>
      <c r="D100" s="8" t="s">
        <v>472</v>
      </c>
      <c r="E100" s="8" t="s">
        <v>414</v>
      </c>
      <c r="F100" s="8" t="s">
        <v>230</v>
      </c>
      <c r="G100" s="8"/>
      <c r="H100" s="8" t="s">
        <v>473</v>
      </c>
      <c r="I100" s="8" t="s">
        <v>74</v>
      </c>
      <c r="J100" s="8" t="s">
        <v>74</v>
      </c>
      <c r="K100" s="8"/>
      <c r="L100" s="8"/>
      <c r="M100" s="8"/>
      <c r="N100" s="8" t="s">
        <v>474</v>
      </c>
      <c r="O100" s="8" t="s">
        <v>475</v>
      </c>
      <c r="P100" s="8" t="s">
        <v>76</v>
      </c>
      <c r="Q100" s="8" t="s">
        <v>476</v>
      </c>
      <c r="R100" s="8" t="s">
        <v>76</v>
      </c>
      <c r="S100" s="8" t="s">
        <v>76</v>
      </c>
      <c r="T100" s="8" t="s">
        <v>76</v>
      </c>
      <c r="U100" s="8" t="s">
        <v>76</v>
      </c>
      <c r="V100" s="8" t="s">
        <v>76</v>
      </c>
      <c r="W100" s="8" t="s">
        <v>76</v>
      </c>
      <c r="X100" s="8" t="s">
        <v>76</v>
      </c>
      <c r="Y100" s="8" t="s">
        <v>76</v>
      </c>
      <c r="Z100" s="8"/>
      <c r="AA100" s="8"/>
      <c r="AB100" s="8" t="s">
        <v>76</v>
      </c>
      <c r="AC100" s="8"/>
    </row>
    <row r="101" spans="1:29" ht="30" customHeight="1" x14ac:dyDescent="0.3">
      <c r="A101" s="8" t="s">
        <v>373</v>
      </c>
      <c r="B101" s="8"/>
      <c r="C101" s="8" t="s">
        <v>477</v>
      </c>
      <c r="D101" s="8" t="s">
        <v>478</v>
      </c>
      <c r="E101" s="8" t="s">
        <v>414</v>
      </c>
      <c r="F101" s="8" t="s">
        <v>230</v>
      </c>
      <c r="G101" s="8"/>
      <c r="H101" s="8" t="s">
        <v>479</v>
      </c>
      <c r="I101" s="8" t="s">
        <v>74</v>
      </c>
      <c r="J101" s="8" t="s">
        <v>74</v>
      </c>
      <c r="K101" s="8"/>
      <c r="L101" s="8"/>
      <c r="M101" s="8"/>
      <c r="N101" s="8" t="s">
        <v>480</v>
      </c>
      <c r="O101" s="8" t="s">
        <v>481</v>
      </c>
      <c r="P101" s="8" t="s">
        <v>76</v>
      </c>
      <c r="Q101" s="8" t="s">
        <v>482</v>
      </c>
      <c r="R101" s="8" t="s">
        <v>76</v>
      </c>
      <c r="S101" s="8" t="s">
        <v>76</v>
      </c>
      <c r="T101" s="8" t="s">
        <v>76</v>
      </c>
      <c r="U101" s="8" t="s">
        <v>76</v>
      </c>
      <c r="V101" s="8" t="s">
        <v>76</v>
      </c>
      <c r="W101" s="8" t="s">
        <v>76</v>
      </c>
      <c r="X101" s="8" t="s">
        <v>76</v>
      </c>
      <c r="Y101" s="8" t="s">
        <v>76</v>
      </c>
      <c r="Z101" s="8"/>
      <c r="AA101" s="8"/>
      <c r="AB101" s="8" t="s">
        <v>76</v>
      </c>
      <c r="AC101" s="8"/>
    </row>
    <row r="102" spans="1:29" ht="30" customHeight="1" x14ac:dyDescent="0.3">
      <c r="A102" s="8" t="s">
        <v>373</v>
      </c>
      <c r="B102" s="8"/>
      <c r="C102" s="8" t="s">
        <v>483</v>
      </c>
      <c r="D102" s="8" t="s">
        <v>484</v>
      </c>
      <c r="E102" s="8" t="s">
        <v>414</v>
      </c>
      <c r="F102" s="8" t="s">
        <v>230</v>
      </c>
      <c r="G102" s="8"/>
      <c r="H102" s="8" t="s">
        <v>461</v>
      </c>
      <c r="I102" s="8" t="s">
        <v>74</v>
      </c>
      <c r="J102" s="8" t="s">
        <v>74</v>
      </c>
      <c r="K102" s="8"/>
      <c r="L102" s="8"/>
      <c r="M102" s="8"/>
      <c r="N102" s="8" t="s">
        <v>485</v>
      </c>
      <c r="O102" s="8" t="s">
        <v>486</v>
      </c>
      <c r="P102" s="8" t="s">
        <v>76</v>
      </c>
      <c r="Q102" s="8" t="s">
        <v>487</v>
      </c>
      <c r="R102" s="8" t="s">
        <v>76</v>
      </c>
      <c r="S102" s="8" t="s">
        <v>76</v>
      </c>
      <c r="T102" s="8" t="s">
        <v>76</v>
      </c>
      <c r="U102" s="8" t="s">
        <v>76</v>
      </c>
      <c r="V102" s="8" t="s">
        <v>76</v>
      </c>
      <c r="W102" s="8" t="s">
        <v>76</v>
      </c>
      <c r="X102" s="8" t="s">
        <v>76</v>
      </c>
      <c r="Y102" s="8" t="s">
        <v>76</v>
      </c>
      <c r="Z102" s="8"/>
      <c r="AA102" s="8"/>
      <c r="AB102" s="8" t="s">
        <v>76</v>
      </c>
      <c r="AC102" s="8"/>
    </row>
    <row r="103" spans="1:29" ht="30" customHeight="1" x14ac:dyDescent="0.3">
      <c r="A103" s="8" t="s">
        <v>373</v>
      </c>
      <c r="B103" s="8"/>
      <c r="C103" s="8" t="s">
        <v>488</v>
      </c>
      <c r="D103" s="8" t="s">
        <v>489</v>
      </c>
      <c r="E103" s="8" t="s">
        <v>414</v>
      </c>
      <c r="F103" s="8" t="s">
        <v>490</v>
      </c>
      <c r="G103" s="8"/>
      <c r="H103" s="8" t="s">
        <v>491</v>
      </c>
      <c r="I103" s="8" t="s">
        <v>74</v>
      </c>
      <c r="J103" s="8" t="s">
        <v>74</v>
      </c>
      <c r="K103" s="8"/>
      <c r="L103" s="8"/>
      <c r="M103" s="8"/>
      <c r="N103" s="8" t="s">
        <v>492</v>
      </c>
      <c r="O103" s="8" t="s">
        <v>493</v>
      </c>
      <c r="P103" s="8" t="s">
        <v>76</v>
      </c>
      <c r="Q103" s="8" t="s">
        <v>494</v>
      </c>
      <c r="R103" s="8" t="s">
        <v>76</v>
      </c>
      <c r="S103" s="8" t="s">
        <v>76</v>
      </c>
      <c r="T103" s="8" t="s">
        <v>76</v>
      </c>
      <c r="U103" s="8" t="s">
        <v>76</v>
      </c>
      <c r="V103" s="8" t="s">
        <v>76</v>
      </c>
      <c r="W103" s="8" t="s">
        <v>76</v>
      </c>
      <c r="X103" s="8" t="s">
        <v>76</v>
      </c>
      <c r="Y103" s="8" t="s">
        <v>76</v>
      </c>
      <c r="Z103" s="8"/>
      <c r="AA103" s="8"/>
      <c r="AB103" s="8" t="s">
        <v>76</v>
      </c>
      <c r="AC103" s="8"/>
    </row>
    <row r="104" spans="1:29" ht="30" customHeight="1" x14ac:dyDescent="0.3">
      <c r="A104" s="8" t="s">
        <v>373</v>
      </c>
      <c r="B104" s="8"/>
      <c r="C104" s="8" t="s">
        <v>495</v>
      </c>
      <c r="D104" s="8" t="s">
        <v>496</v>
      </c>
      <c r="E104" s="8" t="s">
        <v>414</v>
      </c>
      <c r="F104" s="8" t="s">
        <v>490</v>
      </c>
      <c r="G104" s="8"/>
      <c r="H104" s="8" t="s">
        <v>497</v>
      </c>
      <c r="I104" s="8" t="s">
        <v>74</v>
      </c>
      <c r="J104" s="8" t="s">
        <v>74</v>
      </c>
      <c r="K104" s="8"/>
      <c r="L104" s="8"/>
      <c r="M104" s="8"/>
      <c r="N104" s="8" t="s">
        <v>498</v>
      </c>
      <c r="O104" s="8" t="s">
        <v>499</v>
      </c>
      <c r="P104" s="8" t="s">
        <v>76</v>
      </c>
      <c r="Q104" s="8" t="s">
        <v>500</v>
      </c>
      <c r="R104" s="8" t="s">
        <v>76</v>
      </c>
      <c r="S104" s="8" t="s">
        <v>76</v>
      </c>
      <c r="T104" s="8" t="s">
        <v>76</v>
      </c>
      <c r="U104" s="8" t="s">
        <v>76</v>
      </c>
      <c r="V104" s="8" t="s">
        <v>76</v>
      </c>
      <c r="W104" s="8" t="s">
        <v>76</v>
      </c>
      <c r="X104" s="8" t="s">
        <v>76</v>
      </c>
      <c r="Y104" s="8" t="s">
        <v>76</v>
      </c>
      <c r="Z104" s="8"/>
      <c r="AA104" s="8"/>
      <c r="AB104" s="8" t="s">
        <v>76</v>
      </c>
      <c r="AC104" s="8"/>
    </row>
    <row r="105" spans="1:29" ht="30" customHeight="1" x14ac:dyDescent="0.3">
      <c r="A105" s="8" t="s">
        <v>70</v>
      </c>
      <c r="B105" s="8"/>
      <c r="C105" s="8" t="s">
        <v>501</v>
      </c>
      <c r="D105" s="8" t="s">
        <v>502</v>
      </c>
      <c r="E105" s="8" t="s">
        <v>414</v>
      </c>
      <c r="F105" s="8" t="s">
        <v>490</v>
      </c>
      <c r="G105" s="8"/>
      <c r="H105" s="8" t="s">
        <v>497</v>
      </c>
      <c r="I105" s="8" t="s">
        <v>74</v>
      </c>
      <c r="J105" s="8" t="s">
        <v>74</v>
      </c>
      <c r="K105" s="8"/>
      <c r="L105" s="8"/>
      <c r="M105" s="8"/>
      <c r="N105" s="8" t="s">
        <v>503</v>
      </c>
      <c r="O105" s="8" t="s">
        <v>504</v>
      </c>
      <c r="P105" s="8" t="s">
        <v>76</v>
      </c>
      <c r="Q105" s="8" t="s">
        <v>505</v>
      </c>
      <c r="R105" s="8" t="s">
        <v>76</v>
      </c>
      <c r="S105" s="8" t="s">
        <v>76</v>
      </c>
      <c r="T105" s="8" t="s">
        <v>76</v>
      </c>
      <c r="U105" s="8" t="s">
        <v>76</v>
      </c>
      <c r="V105" s="8" t="s">
        <v>76</v>
      </c>
      <c r="W105" s="8" t="s">
        <v>76</v>
      </c>
      <c r="X105" s="8" t="s">
        <v>76</v>
      </c>
      <c r="Y105" s="8" t="s">
        <v>76</v>
      </c>
      <c r="Z105" s="8"/>
      <c r="AA105" s="8"/>
      <c r="AB105" s="8" t="s">
        <v>76</v>
      </c>
      <c r="AC105" s="8"/>
    </row>
    <row r="106" spans="1:29" ht="30" customHeight="1" x14ac:dyDescent="0.3">
      <c r="A106" s="8" t="s">
        <v>373</v>
      </c>
      <c r="B106" s="8"/>
      <c r="C106" s="8" t="s">
        <v>506</v>
      </c>
      <c r="D106" s="8" t="s">
        <v>507</v>
      </c>
      <c r="E106" s="8" t="s">
        <v>414</v>
      </c>
      <c r="F106" s="8" t="s">
        <v>490</v>
      </c>
      <c r="G106" s="8"/>
      <c r="H106" s="8" t="s">
        <v>497</v>
      </c>
      <c r="I106" s="8" t="s">
        <v>74</v>
      </c>
      <c r="J106" s="8" t="s">
        <v>74</v>
      </c>
      <c r="K106" s="8"/>
      <c r="L106" s="8"/>
      <c r="M106" s="8"/>
      <c r="N106" s="8" t="s">
        <v>508</v>
      </c>
      <c r="O106" s="8" t="s">
        <v>509</v>
      </c>
      <c r="P106" s="8" t="s">
        <v>76</v>
      </c>
      <c r="Q106" s="8" t="s">
        <v>510</v>
      </c>
      <c r="R106" s="8" t="s">
        <v>76</v>
      </c>
      <c r="S106" s="8" t="s">
        <v>76</v>
      </c>
      <c r="T106" s="8" t="s">
        <v>76</v>
      </c>
      <c r="U106" s="8" t="s">
        <v>76</v>
      </c>
      <c r="V106" s="8" t="s">
        <v>76</v>
      </c>
      <c r="W106" s="8" t="s">
        <v>76</v>
      </c>
      <c r="X106" s="8" t="s">
        <v>76</v>
      </c>
      <c r="Y106" s="8" t="s">
        <v>76</v>
      </c>
      <c r="Z106" s="8"/>
      <c r="AA106" s="8"/>
      <c r="AB106" s="8" t="s">
        <v>76</v>
      </c>
      <c r="AC106" s="8"/>
    </row>
    <row r="107" spans="1:29" ht="30" customHeight="1" x14ac:dyDescent="0.3">
      <c r="A107" s="8" t="s">
        <v>70</v>
      </c>
      <c r="B107" s="8"/>
      <c r="C107" s="8" t="s">
        <v>511</v>
      </c>
      <c r="D107" s="8" t="s">
        <v>512</v>
      </c>
      <c r="E107" s="8" t="s">
        <v>414</v>
      </c>
      <c r="F107" s="8" t="s">
        <v>490</v>
      </c>
      <c r="G107" s="8"/>
      <c r="H107" s="8" t="s">
        <v>513</v>
      </c>
      <c r="I107" s="8" t="s">
        <v>74</v>
      </c>
      <c r="J107" s="8" t="s">
        <v>74</v>
      </c>
      <c r="K107" s="8"/>
      <c r="L107" s="8"/>
      <c r="M107" s="8"/>
      <c r="N107" s="8" t="s">
        <v>514</v>
      </c>
      <c r="O107" s="8" t="s">
        <v>515</v>
      </c>
      <c r="P107" s="8" t="s">
        <v>76</v>
      </c>
      <c r="Q107" s="8" t="s">
        <v>516</v>
      </c>
      <c r="R107" s="8" t="s">
        <v>76</v>
      </c>
      <c r="S107" s="8" t="s">
        <v>76</v>
      </c>
      <c r="T107" s="8" t="s">
        <v>76</v>
      </c>
      <c r="U107" s="8" t="s">
        <v>76</v>
      </c>
      <c r="V107" s="8" t="s">
        <v>76</v>
      </c>
      <c r="W107" s="8" t="s">
        <v>76</v>
      </c>
      <c r="X107" s="8" t="s">
        <v>76</v>
      </c>
      <c r="Y107" s="8" t="s">
        <v>76</v>
      </c>
      <c r="Z107" s="8"/>
      <c r="AA107" s="8"/>
      <c r="AB107" s="8" t="s">
        <v>76</v>
      </c>
      <c r="AC107" s="8"/>
    </row>
    <row r="108" spans="1:29" ht="30" customHeight="1" x14ac:dyDescent="0.3">
      <c r="A108" s="8" t="s">
        <v>373</v>
      </c>
      <c r="B108" s="8"/>
      <c r="C108" s="8" t="s">
        <v>517</v>
      </c>
      <c r="D108" s="8" t="s">
        <v>518</v>
      </c>
      <c r="E108" s="8" t="s">
        <v>414</v>
      </c>
      <c r="F108" s="8" t="s">
        <v>490</v>
      </c>
      <c r="G108" s="8"/>
      <c r="H108" s="8" t="s">
        <v>513</v>
      </c>
      <c r="I108" s="8" t="s">
        <v>74</v>
      </c>
      <c r="J108" s="8" t="s">
        <v>74</v>
      </c>
      <c r="K108" s="8"/>
      <c r="L108" s="8"/>
      <c r="M108" s="8"/>
      <c r="N108" s="8" t="s">
        <v>519</v>
      </c>
      <c r="O108" s="8" t="s">
        <v>520</v>
      </c>
      <c r="P108" s="8" t="s">
        <v>76</v>
      </c>
      <c r="Q108" s="8" t="s">
        <v>521</v>
      </c>
      <c r="R108" s="8" t="s">
        <v>76</v>
      </c>
      <c r="S108" s="8" t="s">
        <v>76</v>
      </c>
      <c r="T108" s="8" t="s">
        <v>76</v>
      </c>
      <c r="U108" s="8" t="s">
        <v>76</v>
      </c>
      <c r="V108" s="8" t="s">
        <v>76</v>
      </c>
      <c r="W108" s="8" t="s">
        <v>76</v>
      </c>
      <c r="X108" s="8" t="s">
        <v>76</v>
      </c>
      <c r="Y108" s="8" t="s">
        <v>76</v>
      </c>
      <c r="Z108" s="8"/>
      <c r="AA108" s="8"/>
      <c r="AB108" s="8" t="s">
        <v>76</v>
      </c>
      <c r="AC108" s="8"/>
    </row>
    <row r="109" spans="1:29" ht="30" customHeight="1" x14ac:dyDescent="0.3">
      <c r="A109" s="8" t="s">
        <v>70</v>
      </c>
      <c r="B109" s="8"/>
      <c r="C109" s="8" t="s">
        <v>522</v>
      </c>
      <c r="D109" s="8" t="s">
        <v>523</v>
      </c>
      <c r="E109" s="8" t="s">
        <v>524</v>
      </c>
      <c r="F109" s="8" t="s">
        <v>490</v>
      </c>
      <c r="G109" s="8"/>
      <c r="H109" s="8" t="s">
        <v>525</v>
      </c>
      <c r="I109" s="8" t="s">
        <v>74</v>
      </c>
      <c r="J109" s="8" t="s">
        <v>74</v>
      </c>
      <c r="K109" s="8"/>
      <c r="L109" s="8"/>
      <c r="M109" s="8"/>
      <c r="N109" s="8" t="s">
        <v>526</v>
      </c>
      <c r="O109" s="8" t="s">
        <v>527</v>
      </c>
      <c r="P109" s="8" t="s">
        <v>76</v>
      </c>
      <c r="Q109" s="8" t="s">
        <v>528</v>
      </c>
      <c r="R109" s="8" t="s">
        <v>76</v>
      </c>
      <c r="S109" s="8" t="s">
        <v>76</v>
      </c>
      <c r="T109" s="8" t="s">
        <v>76</v>
      </c>
      <c r="U109" s="8" t="s">
        <v>76</v>
      </c>
      <c r="V109" s="8" t="s">
        <v>76</v>
      </c>
      <c r="W109" s="8" t="s">
        <v>76</v>
      </c>
      <c r="X109" s="8" t="s">
        <v>76</v>
      </c>
      <c r="Y109" s="8" t="s">
        <v>76</v>
      </c>
      <c r="Z109" s="8"/>
      <c r="AA109" s="8"/>
      <c r="AB109" s="8" t="s">
        <v>76</v>
      </c>
      <c r="AC109" s="8"/>
    </row>
    <row r="110" spans="1:29" ht="30" customHeight="1" x14ac:dyDescent="0.3">
      <c r="A110" s="8" t="s">
        <v>373</v>
      </c>
      <c r="B110" s="8"/>
      <c r="C110" s="8" t="s">
        <v>529</v>
      </c>
      <c r="D110" s="8" t="s">
        <v>530</v>
      </c>
      <c r="E110" s="8" t="s">
        <v>524</v>
      </c>
      <c r="F110" s="8" t="s">
        <v>490</v>
      </c>
      <c r="G110" s="8"/>
      <c r="H110" s="8" t="s">
        <v>525</v>
      </c>
      <c r="I110" s="8" t="s">
        <v>74</v>
      </c>
      <c r="J110" s="8" t="s">
        <v>74</v>
      </c>
      <c r="K110" s="8"/>
      <c r="L110" s="8"/>
      <c r="M110" s="8"/>
      <c r="N110" s="8" t="s">
        <v>531</v>
      </c>
      <c r="O110" s="8" t="s">
        <v>532</v>
      </c>
      <c r="P110" s="8" t="s">
        <v>76</v>
      </c>
      <c r="Q110" s="8" t="s">
        <v>533</v>
      </c>
      <c r="R110" s="8" t="s">
        <v>76</v>
      </c>
      <c r="S110" s="8" t="s">
        <v>76</v>
      </c>
      <c r="T110" s="8" t="s">
        <v>76</v>
      </c>
      <c r="U110" s="8" t="s">
        <v>76</v>
      </c>
      <c r="V110" s="8" t="s">
        <v>76</v>
      </c>
      <c r="W110" s="8" t="s">
        <v>76</v>
      </c>
      <c r="X110" s="8" t="s">
        <v>76</v>
      </c>
      <c r="Y110" s="8" t="s">
        <v>76</v>
      </c>
      <c r="Z110" s="8"/>
      <c r="AA110" s="8"/>
      <c r="AB110" s="8" t="s">
        <v>76</v>
      </c>
      <c r="AC110" s="8"/>
    </row>
    <row r="111" spans="1:29" ht="30" customHeight="1" x14ac:dyDescent="0.3">
      <c r="A111" s="8" t="s">
        <v>373</v>
      </c>
      <c r="B111" s="8"/>
      <c r="C111" s="8" t="s">
        <v>534</v>
      </c>
      <c r="D111" s="8" t="s">
        <v>535</v>
      </c>
      <c r="E111" s="8" t="s">
        <v>524</v>
      </c>
      <c r="F111" s="8" t="s">
        <v>490</v>
      </c>
      <c r="G111" s="8"/>
      <c r="H111" s="8" t="s">
        <v>536</v>
      </c>
      <c r="I111" s="8" t="s">
        <v>74</v>
      </c>
      <c r="J111" s="8" t="s">
        <v>74</v>
      </c>
      <c r="K111" s="8"/>
      <c r="L111" s="8"/>
      <c r="M111" s="8"/>
      <c r="N111" s="8" t="s">
        <v>537</v>
      </c>
      <c r="O111" s="8" t="s">
        <v>538</v>
      </c>
      <c r="P111" s="8" t="s">
        <v>76</v>
      </c>
      <c r="Q111" s="8" t="s">
        <v>539</v>
      </c>
      <c r="R111" s="8" t="s">
        <v>76</v>
      </c>
      <c r="S111" s="8" t="s">
        <v>76</v>
      </c>
      <c r="T111" s="8" t="s">
        <v>76</v>
      </c>
      <c r="U111" s="8" t="s">
        <v>76</v>
      </c>
      <c r="V111" s="8" t="s">
        <v>76</v>
      </c>
      <c r="W111" s="8" t="s">
        <v>76</v>
      </c>
      <c r="X111" s="8" t="s">
        <v>76</v>
      </c>
      <c r="Y111" s="8" t="s">
        <v>76</v>
      </c>
      <c r="Z111" s="8"/>
      <c r="AA111" s="8"/>
      <c r="AB111" s="8" t="s">
        <v>76</v>
      </c>
      <c r="AC111" s="8"/>
    </row>
    <row r="112" spans="1:29" ht="30" customHeight="1" x14ac:dyDescent="0.3">
      <c r="A112" s="8" t="s">
        <v>70</v>
      </c>
      <c r="B112" s="8"/>
      <c r="C112" s="8" t="s">
        <v>540</v>
      </c>
      <c r="D112" s="8" t="s">
        <v>541</v>
      </c>
      <c r="E112" s="8" t="s">
        <v>524</v>
      </c>
      <c r="F112" s="8" t="s">
        <v>490</v>
      </c>
      <c r="G112" s="8"/>
      <c r="H112" s="8" t="s">
        <v>536</v>
      </c>
      <c r="I112" s="8" t="s">
        <v>74</v>
      </c>
      <c r="J112" s="8" t="s">
        <v>74</v>
      </c>
      <c r="K112" s="8"/>
      <c r="L112" s="8"/>
      <c r="M112" s="8"/>
      <c r="N112" s="8" t="s">
        <v>542</v>
      </c>
      <c r="O112" s="8" t="s">
        <v>543</v>
      </c>
      <c r="P112" s="8" t="s">
        <v>76</v>
      </c>
      <c r="Q112" s="8" t="s">
        <v>544</v>
      </c>
      <c r="R112" s="8" t="s">
        <v>76</v>
      </c>
      <c r="S112" s="8" t="s">
        <v>76</v>
      </c>
      <c r="T112" s="8" t="s">
        <v>76</v>
      </c>
      <c r="U112" s="8" t="s">
        <v>76</v>
      </c>
      <c r="V112" s="8" t="s">
        <v>76</v>
      </c>
      <c r="W112" s="8" t="s">
        <v>76</v>
      </c>
      <c r="X112" s="8" t="s">
        <v>76</v>
      </c>
      <c r="Y112" s="8" t="s">
        <v>76</v>
      </c>
      <c r="Z112" s="8"/>
      <c r="AA112" s="8"/>
      <c r="AB112" s="8" t="s">
        <v>76</v>
      </c>
      <c r="AC112" s="8"/>
    </row>
    <row r="113" spans="1:29" ht="30" customHeight="1" x14ac:dyDescent="0.3">
      <c r="A113" s="8" t="s">
        <v>373</v>
      </c>
      <c r="B113" s="8"/>
      <c r="C113" s="8" t="s">
        <v>545</v>
      </c>
      <c r="D113" s="8" t="s">
        <v>546</v>
      </c>
      <c r="E113" s="8" t="s">
        <v>547</v>
      </c>
      <c r="F113" s="8" t="s">
        <v>548</v>
      </c>
      <c r="G113" s="8"/>
      <c r="H113" s="8" t="s">
        <v>549</v>
      </c>
      <c r="I113" s="8" t="s">
        <v>74</v>
      </c>
      <c r="J113" s="8" t="s">
        <v>74</v>
      </c>
      <c r="K113" s="8"/>
      <c r="L113" s="8"/>
      <c r="M113" s="8"/>
      <c r="N113" s="8" t="s">
        <v>550</v>
      </c>
      <c r="O113" s="8" t="s">
        <v>551</v>
      </c>
      <c r="P113" s="8" t="s">
        <v>76</v>
      </c>
      <c r="Q113" s="8" t="s">
        <v>552</v>
      </c>
      <c r="R113" s="8" t="s">
        <v>76</v>
      </c>
      <c r="S113" s="8" t="s">
        <v>76</v>
      </c>
      <c r="T113" s="8" t="s">
        <v>76</v>
      </c>
      <c r="U113" s="8" t="s">
        <v>76</v>
      </c>
      <c r="V113" s="8" t="s">
        <v>76</v>
      </c>
      <c r="W113" s="8" t="s">
        <v>76</v>
      </c>
      <c r="X113" s="8" t="s">
        <v>76</v>
      </c>
      <c r="Y113" s="8" t="s">
        <v>76</v>
      </c>
      <c r="Z113" s="8"/>
      <c r="AA113" s="8"/>
      <c r="AB113" s="8" t="s">
        <v>76</v>
      </c>
      <c r="AC113" s="8"/>
    </row>
    <row r="114" spans="1:29" ht="30" customHeight="1" x14ac:dyDescent="0.3">
      <c r="A114" s="8" t="s">
        <v>373</v>
      </c>
      <c r="B114" s="8"/>
      <c r="C114" s="8" t="s">
        <v>553</v>
      </c>
      <c r="D114" s="8" t="s">
        <v>554</v>
      </c>
      <c r="E114" s="8" t="s">
        <v>555</v>
      </c>
      <c r="F114" s="8" t="s">
        <v>548</v>
      </c>
      <c r="G114" s="8"/>
      <c r="H114" s="8" t="s">
        <v>556</v>
      </c>
      <c r="I114" s="8" t="s">
        <v>74</v>
      </c>
      <c r="J114" s="8" t="s">
        <v>74</v>
      </c>
      <c r="K114" s="8"/>
      <c r="L114" s="8"/>
      <c r="M114" s="8"/>
      <c r="N114" s="8" t="s">
        <v>557</v>
      </c>
      <c r="O114" s="8" t="s">
        <v>558</v>
      </c>
      <c r="P114" s="8" t="s">
        <v>76</v>
      </c>
      <c r="Q114" s="8" t="s">
        <v>559</v>
      </c>
      <c r="R114" s="8" t="s">
        <v>76</v>
      </c>
      <c r="S114" s="8" t="s">
        <v>76</v>
      </c>
      <c r="T114" s="8" t="s">
        <v>76</v>
      </c>
      <c r="U114" s="8" t="s">
        <v>76</v>
      </c>
      <c r="V114" s="8" t="s">
        <v>76</v>
      </c>
      <c r="W114" s="8" t="s">
        <v>76</v>
      </c>
      <c r="X114" s="8" t="s">
        <v>76</v>
      </c>
      <c r="Y114" s="8" t="s">
        <v>76</v>
      </c>
      <c r="Z114" s="8"/>
      <c r="AA114" s="8"/>
      <c r="AB114" s="8" t="s">
        <v>76</v>
      </c>
      <c r="AC114" s="8"/>
    </row>
    <row r="115" spans="1:29" ht="30" customHeight="1" x14ac:dyDescent="0.3">
      <c r="A115" s="8" t="s">
        <v>70</v>
      </c>
      <c r="B115" s="8"/>
      <c r="C115" s="8" t="s">
        <v>560</v>
      </c>
      <c r="D115" s="8" t="s">
        <v>561</v>
      </c>
      <c r="E115" s="8" t="s">
        <v>555</v>
      </c>
      <c r="F115" s="8" t="s">
        <v>548</v>
      </c>
      <c r="G115" s="8"/>
      <c r="H115" s="8" t="s">
        <v>556</v>
      </c>
      <c r="I115" s="8" t="s">
        <v>74</v>
      </c>
      <c r="J115" s="8" t="s">
        <v>74</v>
      </c>
      <c r="K115" s="8"/>
      <c r="L115" s="8"/>
      <c r="M115" s="8"/>
      <c r="N115" s="8" t="s">
        <v>562</v>
      </c>
      <c r="O115" s="8" t="s">
        <v>563</v>
      </c>
      <c r="P115" s="8" t="s">
        <v>76</v>
      </c>
      <c r="Q115" s="8" t="s">
        <v>564</v>
      </c>
      <c r="R115" s="8" t="s">
        <v>76</v>
      </c>
      <c r="S115" s="8" t="s">
        <v>76</v>
      </c>
      <c r="T115" s="8" t="s">
        <v>76</v>
      </c>
      <c r="U115" s="8" t="s">
        <v>76</v>
      </c>
      <c r="V115" s="8" t="s">
        <v>76</v>
      </c>
      <c r="W115" s="8" t="s">
        <v>76</v>
      </c>
      <c r="X115" s="8" t="s">
        <v>76</v>
      </c>
      <c r="Y115" s="8" t="s">
        <v>76</v>
      </c>
      <c r="Z115" s="8"/>
      <c r="AA115" s="8"/>
      <c r="AB115" s="8" t="s">
        <v>76</v>
      </c>
      <c r="AC115" s="8"/>
    </row>
    <row r="116" spans="1:29" ht="30" customHeight="1" x14ac:dyDescent="0.3">
      <c r="A116" s="8" t="s">
        <v>70</v>
      </c>
      <c r="B116" s="8"/>
      <c r="C116" s="8" t="s">
        <v>565</v>
      </c>
      <c r="D116" s="8" t="s">
        <v>566</v>
      </c>
      <c r="E116" s="8" t="s">
        <v>555</v>
      </c>
      <c r="F116" s="8" t="s">
        <v>548</v>
      </c>
      <c r="G116" s="8"/>
      <c r="H116" s="8" t="s">
        <v>567</v>
      </c>
      <c r="I116" s="8" t="s">
        <v>74</v>
      </c>
      <c r="J116" s="8" t="s">
        <v>74</v>
      </c>
      <c r="K116" s="8"/>
      <c r="L116" s="8"/>
      <c r="M116" s="8"/>
      <c r="N116" s="8" t="s">
        <v>568</v>
      </c>
      <c r="O116" s="8" t="s">
        <v>569</v>
      </c>
      <c r="P116" s="8" t="s">
        <v>76</v>
      </c>
      <c r="Q116" s="8" t="s">
        <v>570</v>
      </c>
      <c r="R116" s="8" t="s">
        <v>76</v>
      </c>
      <c r="S116" s="8" t="s">
        <v>76</v>
      </c>
      <c r="T116" s="8" t="s">
        <v>76</v>
      </c>
      <c r="U116" s="8" t="s">
        <v>76</v>
      </c>
      <c r="V116" s="8" t="s">
        <v>76</v>
      </c>
      <c r="W116" s="8" t="s">
        <v>76</v>
      </c>
      <c r="X116" s="8" t="s">
        <v>76</v>
      </c>
      <c r="Y116" s="8" t="s">
        <v>76</v>
      </c>
      <c r="Z116" s="8"/>
      <c r="AA116" s="8"/>
      <c r="AB116" s="8" t="s">
        <v>76</v>
      </c>
      <c r="AC116" s="8"/>
    </row>
    <row r="117" spans="1:29" ht="30" customHeight="1" x14ac:dyDescent="0.3">
      <c r="A117" s="8" t="s">
        <v>373</v>
      </c>
      <c r="B117" s="8"/>
      <c r="C117" s="8" t="s">
        <v>571</v>
      </c>
      <c r="D117" s="8" t="s">
        <v>572</v>
      </c>
      <c r="E117" s="8" t="s">
        <v>555</v>
      </c>
      <c r="F117" s="8" t="s">
        <v>548</v>
      </c>
      <c r="G117" s="8"/>
      <c r="H117" s="8" t="s">
        <v>567</v>
      </c>
      <c r="I117" s="8" t="s">
        <v>74</v>
      </c>
      <c r="J117" s="8" t="s">
        <v>74</v>
      </c>
      <c r="K117" s="8"/>
      <c r="L117" s="8"/>
      <c r="M117" s="8"/>
      <c r="N117" s="8" t="s">
        <v>573</v>
      </c>
      <c r="O117" s="8" t="s">
        <v>574</v>
      </c>
      <c r="P117" s="8" t="s">
        <v>76</v>
      </c>
      <c r="Q117" s="8" t="s">
        <v>575</v>
      </c>
      <c r="R117" s="8" t="s">
        <v>76</v>
      </c>
      <c r="S117" s="8" t="s">
        <v>76</v>
      </c>
      <c r="T117" s="8" t="s">
        <v>76</v>
      </c>
      <c r="U117" s="8" t="s">
        <v>76</v>
      </c>
      <c r="V117" s="8" t="s">
        <v>76</v>
      </c>
      <c r="W117" s="8" t="s">
        <v>76</v>
      </c>
      <c r="X117" s="8" t="s">
        <v>76</v>
      </c>
      <c r="Y117" s="8" t="s">
        <v>76</v>
      </c>
      <c r="Z117" s="8"/>
      <c r="AA117" s="8"/>
      <c r="AB117" s="8" t="s">
        <v>76</v>
      </c>
      <c r="AC117" s="8"/>
    </row>
    <row r="118" spans="1:29" ht="30" customHeight="1" x14ac:dyDescent="0.3">
      <c r="A118" s="8" t="s">
        <v>373</v>
      </c>
      <c r="B118" s="8"/>
      <c r="C118" s="8" t="s">
        <v>576</v>
      </c>
      <c r="D118" s="8" t="s">
        <v>577</v>
      </c>
      <c r="E118" s="8" t="s">
        <v>578</v>
      </c>
      <c r="F118" s="8" t="s">
        <v>548</v>
      </c>
      <c r="G118" s="8"/>
      <c r="H118" s="8" t="s">
        <v>579</v>
      </c>
      <c r="I118" s="8" t="s">
        <v>74</v>
      </c>
      <c r="J118" s="8" t="s">
        <v>74</v>
      </c>
      <c r="K118" s="8"/>
      <c r="L118" s="8"/>
      <c r="M118" s="8"/>
      <c r="N118" s="8" t="s">
        <v>580</v>
      </c>
      <c r="O118" s="8" t="s">
        <v>581</v>
      </c>
      <c r="P118" s="8" t="s">
        <v>76</v>
      </c>
      <c r="Q118" s="8" t="s">
        <v>582</v>
      </c>
      <c r="R118" s="8" t="s">
        <v>76</v>
      </c>
      <c r="S118" s="8" t="s">
        <v>76</v>
      </c>
      <c r="T118" s="8" t="s">
        <v>76</v>
      </c>
      <c r="U118" s="8" t="s">
        <v>76</v>
      </c>
      <c r="V118" s="8" t="s">
        <v>76</v>
      </c>
      <c r="W118" s="8" t="s">
        <v>76</v>
      </c>
      <c r="X118" s="8" t="s">
        <v>76</v>
      </c>
      <c r="Y118" s="8" t="s">
        <v>76</v>
      </c>
      <c r="Z118" s="8"/>
      <c r="AA118" s="8"/>
      <c r="AB118" s="8" t="s">
        <v>76</v>
      </c>
      <c r="AC118" s="8"/>
    </row>
    <row r="119" spans="1:29" ht="30" customHeight="1" x14ac:dyDescent="0.3">
      <c r="A119" s="8" t="s">
        <v>373</v>
      </c>
      <c r="B119" s="8"/>
      <c r="C119" s="8" t="s">
        <v>583</v>
      </c>
      <c r="D119" s="8" t="s">
        <v>584</v>
      </c>
      <c r="E119" s="8" t="s">
        <v>578</v>
      </c>
      <c r="F119" s="8" t="s">
        <v>548</v>
      </c>
      <c r="G119" s="8"/>
      <c r="H119" s="8" t="s">
        <v>585</v>
      </c>
      <c r="I119" s="8" t="s">
        <v>74</v>
      </c>
      <c r="J119" s="8" t="s">
        <v>74</v>
      </c>
      <c r="K119" s="8"/>
      <c r="L119" s="8"/>
      <c r="M119" s="8"/>
      <c r="N119" s="8" t="s">
        <v>586</v>
      </c>
      <c r="O119" s="8" t="s">
        <v>587</v>
      </c>
      <c r="P119" s="8" t="s">
        <v>76</v>
      </c>
      <c r="Q119" s="8" t="s">
        <v>588</v>
      </c>
      <c r="R119" s="8" t="s">
        <v>76</v>
      </c>
      <c r="S119" s="8" t="s">
        <v>76</v>
      </c>
      <c r="T119" s="8" t="s">
        <v>76</v>
      </c>
      <c r="U119" s="8" t="s">
        <v>76</v>
      </c>
      <c r="V119" s="8" t="s">
        <v>76</v>
      </c>
      <c r="W119" s="8" t="s">
        <v>76</v>
      </c>
      <c r="X119" s="8" t="s">
        <v>76</v>
      </c>
      <c r="Y119" s="8" t="s">
        <v>76</v>
      </c>
      <c r="Z119" s="8"/>
      <c r="AA119" s="8"/>
      <c r="AB119" s="8" t="s">
        <v>76</v>
      </c>
      <c r="AC119" s="8"/>
    </row>
    <row r="120" spans="1:29" ht="30" customHeight="1" x14ac:dyDescent="0.3">
      <c r="A120" s="8" t="s">
        <v>70</v>
      </c>
      <c r="B120" s="8"/>
      <c r="C120" s="8" t="s">
        <v>589</v>
      </c>
      <c r="D120" s="8" t="s">
        <v>590</v>
      </c>
      <c r="E120" s="8" t="s">
        <v>578</v>
      </c>
      <c r="F120" s="8" t="s">
        <v>548</v>
      </c>
      <c r="G120" s="8"/>
      <c r="H120" s="8" t="s">
        <v>585</v>
      </c>
      <c r="I120" s="8" t="s">
        <v>74</v>
      </c>
      <c r="J120" s="8" t="s">
        <v>74</v>
      </c>
      <c r="K120" s="8"/>
      <c r="L120" s="8"/>
      <c r="M120" s="8"/>
      <c r="N120" s="8" t="s">
        <v>591</v>
      </c>
      <c r="O120" s="8" t="s">
        <v>592</v>
      </c>
      <c r="P120" s="8" t="s">
        <v>76</v>
      </c>
      <c r="Q120" s="8" t="s">
        <v>593</v>
      </c>
      <c r="R120" s="8" t="s">
        <v>76</v>
      </c>
      <c r="S120" s="8" t="s">
        <v>76</v>
      </c>
      <c r="T120" s="8" t="s">
        <v>76</v>
      </c>
      <c r="U120" s="8" t="s">
        <v>76</v>
      </c>
      <c r="V120" s="8" t="s">
        <v>76</v>
      </c>
      <c r="W120" s="8" t="s">
        <v>76</v>
      </c>
      <c r="X120" s="8" t="s">
        <v>76</v>
      </c>
      <c r="Y120" s="8" t="s">
        <v>76</v>
      </c>
      <c r="Z120" s="8"/>
      <c r="AA120" s="8"/>
      <c r="AB120" s="8" t="s">
        <v>76</v>
      </c>
      <c r="AC120" s="8"/>
    </row>
    <row r="121" spans="1:29" ht="30" customHeight="1" x14ac:dyDescent="0.3">
      <c r="A121" s="8" t="s">
        <v>373</v>
      </c>
      <c r="B121" s="8"/>
      <c r="C121" s="8" t="s">
        <v>594</v>
      </c>
      <c r="D121" s="8" t="s">
        <v>595</v>
      </c>
      <c r="E121" s="8" t="s">
        <v>578</v>
      </c>
      <c r="F121" s="8" t="s">
        <v>548</v>
      </c>
      <c r="G121" s="8"/>
      <c r="H121" s="8" t="s">
        <v>585</v>
      </c>
      <c r="I121" s="8" t="s">
        <v>74</v>
      </c>
      <c r="J121" s="8" t="s">
        <v>74</v>
      </c>
      <c r="K121" s="8"/>
      <c r="L121" s="8"/>
      <c r="M121" s="8"/>
      <c r="N121" s="8" t="s">
        <v>596</v>
      </c>
      <c r="O121" s="8" t="s">
        <v>597</v>
      </c>
      <c r="P121" s="8" t="s">
        <v>76</v>
      </c>
      <c r="Q121" s="8" t="s">
        <v>598</v>
      </c>
      <c r="R121" s="8" t="s">
        <v>76</v>
      </c>
      <c r="S121" s="8" t="s">
        <v>76</v>
      </c>
      <c r="T121" s="8" t="s">
        <v>76</v>
      </c>
      <c r="U121" s="8" t="s">
        <v>76</v>
      </c>
      <c r="V121" s="8" t="s">
        <v>76</v>
      </c>
      <c r="W121" s="8" t="s">
        <v>76</v>
      </c>
      <c r="X121" s="8" t="s">
        <v>76</v>
      </c>
      <c r="Y121" s="8" t="s">
        <v>76</v>
      </c>
      <c r="Z121" s="8"/>
      <c r="AA121" s="8"/>
      <c r="AB121" s="8" t="s">
        <v>76</v>
      </c>
      <c r="AC121" s="8"/>
    </row>
    <row r="122" spans="1:29" ht="30" customHeight="1" x14ac:dyDescent="0.3">
      <c r="A122" s="8" t="s">
        <v>373</v>
      </c>
      <c r="B122" s="8"/>
      <c r="C122" s="8" t="s">
        <v>599</v>
      </c>
      <c r="D122" s="8" t="s">
        <v>600</v>
      </c>
      <c r="E122" s="8" t="s">
        <v>578</v>
      </c>
      <c r="F122" s="8" t="s">
        <v>548</v>
      </c>
      <c r="G122" s="8"/>
      <c r="H122" s="8" t="s">
        <v>601</v>
      </c>
      <c r="I122" s="8" t="s">
        <v>74</v>
      </c>
      <c r="J122" s="8" t="s">
        <v>74</v>
      </c>
      <c r="K122" s="8"/>
      <c r="L122" s="8"/>
      <c r="M122" s="8"/>
      <c r="N122" s="8" t="s">
        <v>602</v>
      </c>
      <c r="O122" s="8" t="s">
        <v>603</v>
      </c>
      <c r="P122" s="8" t="s">
        <v>76</v>
      </c>
      <c r="Q122" s="8" t="s">
        <v>604</v>
      </c>
      <c r="R122" s="8" t="s">
        <v>76</v>
      </c>
      <c r="S122" s="8" t="s">
        <v>76</v>
      </c>
      <c r="T122" s="8" t="s">
        <v>76</v>
      </c>
      <c r="U122" s="8" t="s">
        <v>76</v>
      </c>
      <c r="V122" s="8" t="s">
        <v>76</v>
      </c>
      <c r="W122" s="8" t="s">
        <v>76</v>
      </c>
      <c r="X122" s="8" t="s">
        <v>76</v>
      </c>
      <c r="Y122" s="8" t="s">
        <v>76</v>
      </c>
      <c r="Z122" s="8"/>
      <c r="AA122" s="8"/>
      <c r="AB122" s="8" t="s">
        <v>76</v>
      </c>
      <c r="AC122" s="8"/>
    </row>
    <row r="123" spans="1:29" ht="30" customHeight="1" x14ac:dyDescent="0.3">
      <c r="A123" s="8" t="s">
        <v>373</v>
      </c>
      <c r="B123" s="8"/>
      <c r="C123" s="8" t="s">
        <v>605</v>
      </c>
      <c r="D123" s="8" t="s">
        <v>606</v>
      </c>
      <c r="E123" s="8" t="s">
        <v>578</v>
      </c>
      <c r="F123" s="8" t="s">
        <v>201</v>
      </c>
      <c r="G123" s="8"/>
      <c r="H123" s="8" t="s">
        <v>607</v>
      </c>
      <c r="I123" s="8" t="s">
        <v>74</v>
      </c>
      <c r="J123" s="8" t="s">
        <v>74</v>
      </c>
      <c r="K123" s="8"/>
      <c r="L123" s="8"/>
      <c r="M123" s="8"/>
      <c r="N123" s="8" t="s">
        <v>608</v>
      </c>
      <c r="O123" s="8" t="s">
        <v>609</v>
      </c>
      <c r="P123" s="8" t="s">
        <v>76</v>
      </c>
      <c r="Q123" s="8" t="s">
        <v>610</v>
      </c>
      <c r="R123" s="8" t="s">
        <v>76</v>
      </c>
      <c r="S123" s="8" t="s">
        <v>76</v>
      </c>
      <c r="T123" s="8" t="s">
        <v>76</v>
      </c>
      <c r="U123" s="8" t="s">
        <v>76</v>
      </c>
      <c r="V123" s="8" t="s">
        <v>76</v>
      </c>
      <c r="W123" s="8" t="s">
        <v>76</v>
      </c>
      <c r="X123" s="8" t="s">
        <v>76</v>
      </c>
      <c r="Y123" s="8" t="s">
        <v>76</v>
      </c>
      <c r="Z123" s="8"/>
      <c r="AA123" s="8"/>
      <c r="AB123" s="8" t="s">
        <v>76</v>
      </c>
      <c r="AC123" s="8"/>
    </row>
    <row r="124" spans="1:29" ht="30" customHeight="1" x14ac:dyDescent="0.3">
      <c r="A124" s="8" t="s">
        <v>373</v>
      </c>
      <c r="B124" s="8"/>
      <c r="C124" s="8" t="s">
        <v>611</v>
      </c>
      <c r="D124" s="8" t="s">
        <v>612</v>
      </c>
      <c r="E124" s="8" t="s">
        <v>578</v>
      </c>
      <c r="F124" s="8" t="s">
        <v>201</v>
      </c>
      <c r="G124" s="8"/>
      <c r="H124" s="8" t="s">
        <v>613</v>
      </c>
      <c r="I124" s="8" t="s">
        <v>74</v>
      </c>
      <c r="J124" s="8" t="s">
        <v>74</v>
      </c>
      <c r="K124" s="8"/>
      <c r="L124" s="8"/>
      <c r="M124" s="8"/>
      <c r="N124" s="8" t="s">
        <v>614</v>
      </c>
      <c r="O124" s="8" t="s">
        <v>615</v>
      </c>
      <c r="P124" s="8" t="s">
        <v>76</v>
      </c>
      <c r="Q124" s="8" t="s">
        <v>616</v>
      </c>
      <c r="R124" s="8" t="s">
        <v>76</v>
      </c>
      <c r="S124" s="8" t="s">
        <v>76</v>
      </c>
      <c r="T124" s="8" t="s">
        <v>76</v>
      </c>
      <c r="U124" s="8" t="s">
        <v>76</v>
      </c>
      <c r="V124" s="8" t="s">
        <v>76</v>
      </c>
      <c r="W124" s="8" t="s">
        <v>76</v>
      </c>
      <c r="X124" s="8" t="s">
        <v>76</v>
      </c>
      <c r="Y124" s="8" t="s">
        <v>76</v>
      </c>
      <c r="Z124" s="8"/>
      <c r="AA124" s="8"/>
      <c r="AB124" s="8" t="s">
        <v>76</v>
      </c>
      <c r="AC124" s="8"/>
    </row>
    <row r="125" spans="1:29" ht="30" customHeight="1" x14ac:dyDescent="0.3">
      <c r="A125" s="8" t="s">
        <v>70</v>
      </c>
      <c r="B125" s="8"/>
      <c r="C125" s="8" t="s">
        <v>617</v>
      </c>
      <c r="D125" s="8" t="s">
        <v>618</v>
      </c>
      <c r="E125" s="8" t="s">
        <v>578</v>
      </c>
      <c r="F125" s="8" t="s">
        <v>201</v>
      </c>
      <c r="G125" s="8"/>
      <c r="H125" s="8" t="s">
        <v>619</v>
      </c>
      <c r="I125" s="8" t="s">
        <v>74</v>
      </c>
      <c r="J125" s="8" t="s">
        <v>74</v>
      </c>
      <c r="K125" s="8"/>
      <c r="L125" s="8"/>
      <c r="M125" s="8"/>
      <c r="N125" s="8" t="s">
        <v>620</v>
      </c>
      <c r="O125" s="8" t="s">
        <v>620</v>
      </c>
      <c r="P125" s="8" t="s">
        <v>76</v>
      </c>
      <c r="Q125" s="8" t="s">
        <v>76</v>
      </c>
      <c r="R125" s="8" t="s">
        <v>76</v>
      </c>
      <c r="S125" s="8" t="s">
        <v>76</v>
      </c>
      <c r="T125" s="8" t="s">
        <v>76</v>
      </c>
      <c r="U125" s="8" t="s">
        <v>76</v>
      </c>
      <c r="V125" s="8" t="s">
        <v>76</v>
      </c>
      <c r="W125" s="8" t="s">
        <v>76</v>
      </c>
      <c r="X125" s="8" t="s">
        <v>76</v>
      </c>
      <c r="Y125" s="8" t="s">
        <v>76</v>
      </c>
      <c r="Z125" s="8"/>
      <c r="AA125" s="8"/>
      <c r="AB125" s="8" t="s">
        <v>76</v>
      </c>
      <c r="AC125" s="8"/>
    </row>
    <row r="126" spans="1:29" ht="30" customHeight="1" x14ac:dyDescent="0.3">
      <c r="A126" s="8" t="s">
        <v>373</v>
      </c>
      <c r="B126" s="8"/>
      <c r="C126" s="8" t="s">
        <v>621</v>
      </c>
      <c r="D126" s="8" t="s">
        <v>622</v>
      </c>
      <c r="E126" s="8" t="s">
        <v>578</v>
      </c>
      <c r="F126" s="8" t="s">
        <v>201</v>
      </c>
      <c r="G126" s="8"/>
      <c r="H126" s="8" t="s">
        <v>619</v>
      </c>
      <c r="I126" s="8" t="s">
        <v>74</v>
      </c>
      <c r="J126" s="8" t="s">
        <v>74</v>
      </c>
      <c r="K126" s="8"/>
      <c r="L126" s="8"/>
      <c r="M126" s="8"/>
      <c r="N126" s="8" t="s">
        <v>623</v>
      </c>
      <c r="O126" s="8" t="s">
        <v>624</v>
      </c>
      <c r="P126" s="8" t="s">
        <v>76</v>
      </c>
      <c r="Q126" s="8" t="s">
        <v>625</v>
      </c>
      <c r="R126" s="8" t="s">
        <v>76</v>
      </c>
      <c r="S126" s="8" t="s">
        <v>76</v>
      </c>
      <c r="T126" s="8" t="s">
        <v>76</v>
      </c>
      <c r="U126" s="8" t="s">
        <v>76</v>
      </c>
      <c r="V126" s="8" t="s">
        <v>76</v>
      </c>
      <c r="W126" s="8" t="s">
        <v>76</v>
      </c>
      <c r="X126" s="8" t="s">
        <v>76</v>
      </c>
      <c r="Y126" s="8" t="s">
        <v>76</v>
      </c>
      <c r="Z126" s="8"/>
      <c r="AA126" s="8"/>
      <c r="AB126" s="8" t="s">
        <v>76</v>
      </c>
      <c r="AC126" s="8"/>
    </row>
    <row r="127" spans="1:29" ht="30" customHeight="1" x14ac:dyDescent="0.3">
      <c r="A127" s="8" t="s">
        <v>70</v>
      </c>
      <c r="B127" s="8"/>
      <c r="C127" s="8" t="s">
        <v>626</v>
      </c>
      <c r="D127" s="8" t="s">
        <v>627</v>
      </c>
      <c r="E127" s="8" t="s">
        <v>578</v>
      </c>
      <c r="F127" s="8" t="s">
        <v>201</v>
      </c>
      <c r="G127" s="8"/>
      <c r="H127" s="8"/>
      <c r="I127" s="8" t="s">
        <v>74</v>
      </c>
      <c r="J127" s="8" t="s">
        <v>74</v>
      </c>
      <c r="K127" s="8"/>
      <c r="L127" s="8"/>
      <c r="M127" s="8"/>
      <c r="N127" s="8" t="s">
        <v>628</v>
      </c>
      <c r="O127" s="8" t="s">
        <v>76</v>
      </c>
      <c r="P127" s="8" t="s">
        <v>76</v>
      </c>
      <c r="Q127" s="8" t="s">
        <v>76</v>
      </c>
      <c r="R127" s="8" t="s">
        <v>76</v>
      </c>
      <c r="S127" s="8" t="s">
        <v>76</v>
      </c>
      <c r="T127" s="8" t="s">
        <v>76</v>
      </c>
      <c r="U127" s="8" t="s">
        <v>76</v>
      </c>
      <c r="V127" s="8" t="s">
        <v>76</v>
      </c>
      <c r="W127" s="8" t="s">
        <v>76</v>
      </c>
      <c r="X127" s="8" t="s">
        <v>76</v>
      </c>
      <c r="Y127" s="8" t="s">
        <v>76</v>
      </c>
      <c r="Z127" s="8"/>
      <c r="AA127" s="8"/>
      <c r="AB127" s="8" t="s">
        <v>76</v>
      </c>
      <c r="AC127" s="8"/>
    </row>
    <row r="128" spans="1:29" ht="30" customHeight="1" x14ac:dyDescent="0.3">
      <c r="A128" s="8" t="s">
        <v>373</v>
      </c>
      <c r="B128" s="8"/>
      <c r="C128" s="8" t="s">
        <v>629</v>
      </c>
      <c r="D128" s="8" t="s">
        <v>630</v>
      </c>
      <c r="E128" s="8" t="s">
        <v>578</v>
      </c>
      <c r="F128" s="8" t="s">
        <v>201</v>
      </c>
      <c r="G128" s="8"/>
      <c r="H128" s="8" t="s">
        <v>631</v>
      </c>
      <c r="I128" s="8" t="s">
        <v>74</v>
      </c>
      <c r="J128" s="8" t="s">
        <v>74</v>
      </c>
      <c r="K128" s="8"/>
      <c r="L128" s="8"/>
      <c r="M128" s="8"/>
      <c r="N128" s="8" t="s">
        <v>632</v>
      </c>
      <c r="O128" s="8" t="s">
        <v>633</v>
      </c>
      <c r="P128" s="8" t="s">
        <v>76</v>
      </c>
      <c r="Q128" s="8" t="s">
        <v>634</v>
      </c>
      <c r="R128" s="8" t="s">
        <v>76</v>
      </c>
      <c r="S128" s="8" t="s">
        <v>76</v>
      </c>
      <c r="T128" s="8" t="s">
        <v>76</v>
      </c>
      <c r="U128" s="8" t="s">
        <v>76</v>
      </c>
      <c r="V128" s="8" t="s">
        <v>76</v>
      </c>
      <c r="W128" s="8" t="s">
        <v>76</v>
      </c>
      <c r="X128" s="8" t="s">
        <v>76</v>
      </c>
      <c r="Y128" s="8" t="s">
        <v>76</v>
      </c>
      <c r="Z128" s="8"/>
      <c r="AA128" s="8"/>
      <c r="AB128" s="8" t="s">
        <v>76</v>
      </c>
      <c r="AC128" s="8"/>
    </row>
    <row r="129" spans="1:29" ht="30" customHeight="1" x14ac:dyDescent="0.3">
      <c r="A129" s="8" t="s">
        <v>373</v>
      </c>
      <c r="B129" s="8"/>
      <c r="C129" s="8" t="s">
        <v>635</v>
      </c>
      <c r="D129" s="8" t="s">
        <v>636</v>
      </c>
      <c r="E129" s="8" t="s">
        <v>578</v>
      </c>
      <c r="F129" s="8" t="s">
        <v>201</v>
      </c>
      <c r="G129" s="8"/>
      <c r="H129" s="8" t="s">
        <v>637</v>
      </c>
      <c r="I129" s="8" t="s">
        <v>74</v>
      </c>
      <c r="J129" s="8" t="s">
        <v>74</v>
      </c>
      <c r="K129" s="8"/>
      <c r="L129" s="8"/>
      <c r="M129" s="8"/>
      <c r="N129" s="8" t="s">
        <v>638</v>
      </c>
      <c r="O129" s="8" t="s">
        <v>639</v>
      </c>
      <c r="P129" s="8" t="s">
        <v>76</v>
      </c>
      <c r="Q129" s="8" t="s">
        <v>640</v>
      </c>
      <c r="R129" s="8" t="s">
        <v>76</v>
      </c>
      <c r="S129" s="8" t="s">
        <v>76</v>
      </c>
      <c r="T129" s="8" t="s">
        <v>76</v>
      </c>
      <c r="U129" s="8" t="s">
        <v>76</v>
      </c>
      <c r="V129" s="8" t="s">
        <v>76</v>
      </c>
      <c r="W129" s="8" t="s">
        <v>76</v>
      </c>
      <c r="X129" s="8" t="s">
        <v>76</v>
      </c>
      <c r="Y129" s="8" t="s">
        <v>76</v>
      </c>
      <c r="Z129" s="8"/>
      <c r="AA129" s="8"/>
      <c r="AB129" s="8" t="s">
        <v>76</v>
      </c>
      <c r="AC129" s="8"/>
    </row>
    <row r="130" spans="1:29" ht="30" customHeight="1" x14ac:dyDescent="0.3">
      <c r="A130" s="8" t="s">
        <v>70</v>
      </c>
      <c r="B130" s="8"/>
      <c r="C130" s="8" t="s">
        <v>641</v>
      </c>
      <c r="D130" s="8" t="s">
        <v>642</v>
      </c>
      <c r="E130" s="8" t="s">
        <v>578</v>
      </c>
      <c r="F130" s="8" t="s">
        <v>201</v>
      </c>
      <c r="G130" s="8"/>
      <c r="H130" s="8" t="s">
        <v>637</v>
      </c>
      <c r="I130" s="8" t="s">
        <v>74</v>
      </c>
      <c r="J130" s="8" t="s">
        <v>74</v>
      </c>
      <c r="K130" s="8"/>
      <c r="L130" s="8"/>
      <c r="M130" s="8"/>
      <c r="N130" s="8" t="s">
        <v>643</v>
      </c>
      <c r="O130" s="8" t="s">
        <v>644</v>
      </c>
      <c r="P130" s="8" t="s">
        <v>76</v>
      </c>
      <c r="Q130" s="8" t="s">
        <v>645</v>
      </c>
      <c r="R130" s="8" t="s">
        <v>76</v>
      </c>
      <c r="S130" s="8" t="s">
        <v>76</v>
      </c>
      <c r="T130" s="8" t="s">
        <v>76</v>
      </c>
      <c r="U130" s="8" t="s">
        <v>76</v>
      </c>
      <c r="V130" s="8" t="s">
        <v>76</v>
      </c>
      <c r="W130" s="8" t="s">
        <v>76</v>
      </c>
      <c r="X130" s="8" t="s">
        <v>76</v>
      </c>
      <c r="Y130" s="8" t="s">
        <v>76</v>
      </c>
      <c r="Z130" s="8"/>
      <c r="AA130" s="8"/>
      <c r="AB130" s="8" t="s">
        <v>76</v>
      </c>
      <c r="AC130" s="8"/>
    </row>
    <row r="131" spans="1:29" ht="30" customHeight="1" x14ac:dyDescent="0.3">
      <c r="A131" s="8" t="s">
        <v>373</v>
      </c>
      <c r="B131" s="8"/>
      <c r="C131" s="8" t="s">
        <v>646</v>
      </c>
      <c r="D131" s="8" t="s">
        <v>647</v>
      </c>
      <c r="E131" s="8" t="s">
        <v>578</v>
      </c>
      <c r="F131" s="8" t="s">
        <v>201</v>
      </c>
      <c r="G131" s="8"/>
      <c r="H131" s="8" t="s">
        <v>637</v>
      </c>
      <c r="I131" s="8" t="s">
        <v>74</v>
      </c>
      <c r="J131" s="8" t="s">
        <v>74</v>
      </c>
      <c r="K131" s="8"/>
      <c r="L131" s="8"/>
      <c r="M131" s="8"/>
      <c r="N131" s="8" t="s">
        <v>648</v>
      </c>
      <c r="O131" s="8" t="s">
        <v>649</v>
      </c>
      <c r="P131" s="8" t="s">
        <v>76</v>
      </c>
      <c r="Q131" s="8" t="s">
        <v>650</v>
      </c>
      <c r="R131" s="8" t="s">
        <v>76</v>
      </c>
      <c r="S131" s="8" t="s">
        <v>76</v>
      </c>
      <c r="T131" s="8" t="s">
        <v>76</v>
      </c>
      <c r="U131" s="8" t="s">
        <v>76</v>
      </c>
      <c r="V131" s="8" t="s">
        <v>76</v>
      </c>
      <c r="W131" s="8" t="s">
        <v>76</v>
      </c>
      <c r="X131" s="8" t="s">
        <v>76</v>
      </c>
      <c r="Y131" s="8" t="s">
        <v>76</v>
      </c>
      <c r="Z131" s="8"/>
      <c r="AA131" s="8"/>
      <c r="AB131" s="8" t="s">
        <v>76</v>
      </c>
      <c r="AC131" s="8"/>
    </row>
    <row r="132" spans="1:29" ht="30" customHeight="1" x14ac:dyDescent="0.3">
      <c r="A132" s="8" t="s">
        <v>373</v>
      </c>
      <c r="B132" s="8"/>
      <c r="C132" s="8" t="s">
        <v>651</v>
      </c>
      <c r="D132" s="8" t="s">
        <v>652</v>
      </c>
      <c r="E132" s="8" t="s">
        <v>653</v>
      </c>
      <c r="F132" s="8" t="s">
        <v>230</v>
      </c>
      <c r="G132" s="8"/>
      <c r="H132" s="8" t="s">
        <v>654</v>
      </c>
      <c r="I132" s="8" t="s">
        <v>74</v>
      </c>
      <c r="J132" s="8" t="s">
        <v>74</v>
      </c>
      <c r="K132" s="8"/>
      <c r="L132" s="8"/>
      <c r="M132" s="8"/>
      <c r="N132" s="8" t="s">
        <v>655</v>
      </c>
      <c r="O132" s="8" t="s">
        <v>656</v>
      </c>
      <c r="P132" s="8" t="s">
        <v>76</v>
      </c>
      <c r="Q132" s="8" t="s">
        <v>657</v>
      </c>
      <c r="R132" s="8" t="s">
        <v>76</v>
      </c>
      <c r="S132" s="8" t="s">
        <v>76</v>
      </c>
      <c r="T132" s="8" t="s">
        <v>76</v>
      </c>
      <c r="U132" s="8" t="s">
        <v>76</v>
      </c>
      <c r="V132" s="8" t="s">
        <v>76</v>
      </c>
      <c r="W132" s="8" t="s">
        <v>76</v>
      </c>
      <c r="X132" s="8" t="s">
        <v>76</v>
      </c>
      <c r="Y132" s="8" t="s">
        <v>76</v>
      </c>
      <c r="Z132" s="8"/>
      <c r="AA132" s="8"/>
      <c r="AB132" s="8" t="s">
        <v>76</v>
      </c>
      <c r="AC132" s="8"/>
    </row>
    <row r="133" spans="1:29" ht="30" customHeight="1" x14ac:dyDescent="0.3">
      <c r="A133" s="8" t="s">
        <v>70</v>
      </c>
      <c r="B133" s="8"/>
      <c r="C133" s="8" t="s">
        <v>658</v>
      </c>
      <c r="D133" s="8" t="s">
        <v>659</v>
      </c>
      <c r="E133" s="8" t="s">
        <v>653</v>
      </c>
      <c r="F133" s="8" t="s">
        <v>230</v>
      </c>
      <c r="G133" s="8"/>
      <c r="H133" s="8" t="s">
        <v>660</v>
      </c>
      <c r="I133" s="8" t="s">
        <v>74</v>
      </c>
      <c r="J133" s="8" t="s">
        <v>74</v>
      </c>
      <c r="K133" s="8"/>
      <c r="L133" s="8"/>
      <c r="M133" s="8"/>
      <c r="N133" s="8" t="s">
        <v>661</v>
      </c>
      <c r="O133" s="8" t="s">
        <v>662</v>
      </c>
      <c r="P133" s="8" t="s">
        <v>76</v>
      </c>
      <c r="Q133" s="8" t="s">
        <v>663</v>
      </c>
      <c r="R133" s="8" t="s">
        <v>76</v>
      </c>
      <c r="S133" s="8" t="s">
        <v>76</v>
      </c>
      <c r="T133" s="8" t="s">
        <v>76</v>
      </c>
      <c r="U133" s="8" t="s">
        <v>76</v>
      </c>
      <c r="V133" s="8" t="s">
        <v>76</v>
      </c>
      <c r="W133" s="8" t="s">
        <v>76</v>
      </c>
      <c r="X133" s="8" t="s">
        <v>76</v>
      </c>
      <c r="Y133" s="8" t="s">
        <v>76</v>
      </c>
      <c r="Z133" s="8"/>
      <c r="AA133" s="8"/>
      <c r="AB133" s="8" t="s">
        <v>76</v>
      </c>
      <c r="AC133" s="8"/>
    </row>
    <row r="134" spans="1:29" ht="30" customHeight="1" x14ac:dyDescent="0.3">
      <c r="A134" s="8" t="s">
        <v>373</v>
      </c>
      <c r="B134" s="8"/>
      <c r="C134" s="8" t="s">
        <v>664</v>
      </c>
      <c r="D134" s="8" t="s">
        <v>665</v>
      </c>
      <c r="E134" s="8" t="s">
        <v>653</v>
      </c>
      <c r="F134" s="8" t="s">
        <v>230</v>
      </c>
      <c r="G134" s="8"/>
      <c r="H134" s="8" t="s">
        <v>660</v>
      </c>
      <c r="I134" s="8" t="s">
        <v>74</v>
      </c>
      <c r="J134" s="8" t="s">
        <v>74</v>
      </c>
      <c r="K134" s="8"/>
      <c r="L134" s="8"/>
      <c r="M134" s="8"/>
      <c r="N134" s="8" t="s">
        <v>666</v>
      </c>
      <c r="O134" s="8" t="s">
        <v>667</v>
      </c>
      <c r="P134" s="8" t="s">
        <v>76</v>
      </c>
      <c r="Q134" s="8" t="s">
        <v>668</v>
      </c>
      <c r="R134" s="8" t="s">
        <v>76</v>
      </c>
      <c r="S134" s="8" t="s">
        <v>76</v>
      </c>
      <c r="T134" s="8" t="s">
        <v>76</v>
      </c>
      <c r="U134" s="8" t="s">
        <v>76</v>
      </c>
      <c r="V134" s="8" t="s">
        <v>76</v>
      </c>
      <c r="W134" s="8" t="s">
        <v>76</v>
      </c>
      <c r="X134" s="8" t="s">
        <v>76</v>
      </c>
      <c r="Y134" s="8" t="s">
        <v>76</v>
      </c>
      <c r="Z134" s="8"/>
      <c r="AA134" s="8"/>
      <c r="AB134" s="8" t="s">
        <v>76</v>
      </c>
      <c r="AC134" s="8"/>
    </row>
    <row r="135" spans="1:29" ht="30" customHeight="1" x14ac:dyDescent="0.3">
      <c r="A135" s="8" t="s">
        <v>373</v>
      </c>
      <c r="B135" s="8"/>
      <c r="C135" s="8" t="s">
        <v>669</v>
      </c>
      <c r="D135" s="8" t="s">
        <v>670</v>
      </c>
      <c r="E135" s="8" t="s">
        <v>653</v>
      </c>
      <c r="F135" s="8" t="s">
        <v>230</v>
      </c>
      <c r="G135" s="8"/>
      <c r="H135" s="8" t="s">
        <v>671</v>
      </c>
      <c r="I135" s="8" t="s">
        <v>74</v>
      </c>
      <c r="J135" s="8" t="s">
        <v>74</v>
      </c>
      <c r="K135" s="8"/>
      <c r="L135" s="8"/>
      <c r="M135" s="8"/>
      <c r="N135" s="8" t="s">
        <v>672</v>
      </c>
      <c r="O135" s="8" t="s">
        <v>673</v>
      </c>
      <c r="P135" s="8" t="s">
        <v>76</v>
      </c>
      <c r="Q135" s="8" t="s">
        <v>674</v>
      </c>
      <c r="R135" s="8" t="s">
        <v>76</v>
      </c>
      <c r="S135" s="8" t="s">
        <v>76</v>
      </c>
      <c r="T135" s="8" t="s">
        <v>76</v>
      </c>
      <c r="U135" s="8" t="s">
        <v>76</v>
      </c>
      <c r="V135" s="8" t="s">
        <v>76</v>
      </c>
      <c r="W135" s="8" t="s">
        <v>76</v>
      </c>
      <c r="X135" s="8" t="s">
        <v>76</v>
      </c>
      <c r="Y135" s="8" t="s">
        <v>76</v>
      </c>
      <c r="Z135" s="8"/>
      <c r="AA135" s="8"/>
      <c r="AB135" s="8" t="s">
        <v>76</v>
      </c>
      <c r="AC135" s="8"/>
    </row>
    <row r="136" spans="1:29" ht="30" customHeight="1" x14ac:dyDescent="0.3">
      <c r="A136" s="8" t="s">
        <v>70</v>
      </c>
      <c r="B136" s="8"/>
      <c r="C136" s="8" t="s">
        <v>675</v>
      </c>
      <c r="D136" s="8" t="s">
        <v>676</v>
      </c>
      <c r="E136" s="8" t="s">
        <v>653</v>
      </c>
      <c r="F136" s="8" t="s">
        <v>230</v>
      </c>
      <c r="G136" s="8"/>
      <c r="H136" s="8" t="s">
        <v>677</v>
      </c>
      <c r="I136" s="8" t="s">
        <v>74</v>
      </c>
      <c r="J136" s="8" t="s">
        <v>74</v>
      </c>
      <c r="K136" s="8"/>
      <c r="L136" s="8"/>
      <c r="M136" s="8"/>
      <c r="N136" s="8" t="s">
        <v>678</v>
      </c>
      <c r="O136" s="8" t="s">
        <v>679</v>
      </c>
      <c r="P136" s="8" t="s">
        <v>76</v>
      </c>
      <c r="Q136" s="8" t="s">
        <v>680</v>
      </c>
      <c r="R136" s="8" t="s">
        <v>76</v>
      </c>
      <c r="S136" s="8" t="s">
        <v>76</v>
      </c>
      <c r="T136" s="8" t="s">
        <v>76</v>
      </c>
      <c r="U136" s="8" t="s">
        <v>76</v>
      </c>
      <c r="V136" s="8" t="s">
        <v>76</v>
      </c>
      <c r="W136" s="8" t="s">
        <v>76</v>
      </c>
      <c r="X136" s="8" t="s">
        <v>76</v>
      </c>
      <c r="Y136" s="8" t="s">
        <v>76</v>
      </c>
      <c r="Z136" s="8"/>
      <c r="AA136" s="8"/>
      <c r="AB136" s="8" t="s">
        <v>76</v>
      </c>
      <c r="AC136" s="8"/>
    </row>
    <row r="137" spans="1:29" ht="30" customHeight="1" x14ac:dyDescent="0.3">
      <c r="A137" s="8" t="s">
        <v>373</v>
      </c>
      <c r="B137" s="8"/>
      <c r="C137" s="8" t="s">
        <v>681</v>
      </c>
      <c r="D137" s="8" t="s">
        <v>682</v>
      </c>
      <c r="E137" s="8" t="s">
        <v>653</v>
      </c>
      <c r="F137" s="8" t="s">
        <v>230</v>
      </c>
      <c r="G137" s="8"/>
      <c r="H137" s="8" t="s">
        <v>677</v>
      </c>
      <c r="I137" s="8" t="s">
        <v>74</v>
      </c>
      <c r="J137" s="8" t="s">
        <v>74</v>
      </c>
      <c r="K137" s="8"/>
      <c r="L137" s="8"/>
      <c r="M137" s="8"/>
      <c r="N137" s="8" t="s">
        <v>683</v>
      </c>
      <c r="O137" s="8" t="s">
        <v>684</v>
      </c>
      <c r="P137" s="8" t="s">
        <v>76</v>
      </c>
      <c r="Q137" s="8" t="s">
        <v>685</v>
      </c>
      <c r="R137" s="8" t="s">
        <v>76</v>
      </c>
      <c r="S137" s="8" t="s">
        <v>76</v>
      </c>
      <c r="T137" s="8" t="s">
        <v>76</v>
      </c>
      <c r="U137" s="8" t="s">
        <v>76</v>
      </c>
      <c r="V137" s="8" t="s">
        <v>76</v>
      </c>
      <c r="W137" s="8" t="s">
        <v>76</v>
      </c>
      <c r="X137" s="8" t="s">
        <v>76</v>
      </c>
      <c r="Y137" s="8" t="s">
        <v>76</v>
      </c>
      <c r="Z137" s="8"/>
      <c r="AA137" s="8"/>
      <c r="AB137" s="8" t="s">
        <v>76</v>
      </c>
      <c r="AC137" s="8"/>
    </row>
    <row r="138" spans="1:29" ht="30" customHeight="1" x14ac:dyDescent="0.3">
      <c r="A138" s="8" t="s">
        <v>373</v>
      </c>
      <c r="B138" s="8"/>
      <c r="C138" s="8" t="s">
        <v>686</v>
      </c>
      <c r="D138" s="8" t="s">
        <v>687</v>
      </c>
      <c r="E138" s="8" t="s">
        <v>653</v>
      </c>
      <c r="F138" s="8" t="s">
        <v>230</v>
      </c>
      <c r="G138" s="8"/>
      <c r="H138" s="8" t="s">
        <v>688</v>
      </c>
      <c r="I138" s="8" t="s">
        <v>74</v>
      </c>
      <c r="J138" s="8" t="s">
        <v>74</v>
      </c>
      <c r="K138" s="8"/>
      <c r="L138" s="8"/>
      <c r="M138" s="8"/>
      <c r="N138" s="8" t="s">
        <v>689</v>
      </c>
      <c r="O138" s="8" t="s">
        <v>690</v>
      </c>
      <c r="P138" s="8" t="s">
        <v>76</v>
      </c>
      <c r="Q138" s="8" t="s">
        <v>691</v>
      </c>
      <c r="R138" s="8" t="s">
        <v>76</v>
      </c>
      <c r="S138" s="8" t="s">
        <v>76</v>
      </c>
      <c r="T138" s="8" t="s">
        <v>76</v>
      </c>
      <c r="U138" s="8" t="s">
        <v>76</v>
      </c>
      <c r="V138" s="8" t="s">
        <v>76</v>
      </c>
      <c r="W138" s="8" t="s">
        <v>76</v>
      </c>
      <c r="X138" s="8" t="s">
        <v>76</v>
      </c>
      <c r="Y138" s="8" t="s">
        <v>76</v>
      </c>
      <c r="Z138" s="8"/>
      <c r="AA138" s="8"/>
      <c r="AB138" s="8" t="s">
        <v>76</v>
      </c>
      <c r="AC138" s="8"/>
    </row>
    <row r="139" spans="1:29" ht="30" customHeight="1" x14ac:dyDescent="0.3">
      <c r="A139" s="9" t="s">
        <v>692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693</v>
      </c>
      <c r="O139" s="9" t="s">
        <v>694</v>
      </c>
      <c r="P139" s="9" t="s">
        <v>76</v>
      </c>
      <c r="Q139" s="9" t="s">
        <v>695</v>
      </c>
      <c r="R139" s="9" t="s">
        <v>76</v>
      </c>
      <c r="S139" s="9" t="s">
        <v>76</v>
      </c>
      <c r="T139" s="9" t="s">
        <v>696</v>
      </c>
      <c r="U139" s="9" t="s">
        <v>76</v>
      </c>
      <c r="V139" s="9" t="s">
        <v>76</v>
      </c>
      <c r="W139" s="9" t="s">
        <v>76</v>
      </c>
      <c r="X139" s="9" t="s">
        <v>76</v>
      </c>
      <c r="Y139" s="9" t="s">
        <v>76</v>
      </c>
      <c r="Z139" s="9"/>
      <c r="AA139" s="9"/>
      <c r="AB139" s="9"/>
      <c r="AC139" s="9"/>
    </row>
  </sheetData>
  <mergeCells count="20">
    <mergeCell ref="A19:F19"/>
    <mergeCell ref="A20:F20"/>
    <mergeCell ref="A21:V21"/>
    <mergeCell ref="W21:Y21"/>
    <mergeCell ref="Z21:AC21"/>
    <mergeCell ref="D14:F14"/>
    <mergeCell ref="D15:F15"/>
    <mergeCell ref="D16:F16"/>
    <mergeCell ref="D17:F17"/>
    <mergeCell ref="B18:F18"/>
    <mergeCell ref="A6:F6"/>
    <mergeCell ref="D10:F10"/>
    <mergeCell ref="D11:F11"/>
    <mergeCell ref="D12:F12"/>
    <mergeCell ref="A13:F13"/>
    <mergeCell ref="A1:F1"/>
    <mergeCell ref="H1:I5"/>
    <mergeCell ref="A2:F2"/>
    <mergeCell ref="B4:D4"/>
    <mergeCell ref="B5:F5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F050-C27B-4EE6-94D8-BCA85F5B700E}">
  <sheetPr filterMode="1">
    <outlinePr summaryBelow="0"/>
  </sheetPr>
  <dimension ref="A1:AC120"/>
  <sheetViews>
    <sheetView topLeftCell="A87" zoomScale="60" zoomScaleNormal="60" workbookViewId="0">
      <selection activeCell="D98" sqref="D98"/>
    </sheetView>
  </sheetViews>
  <sheetFormatPr defaultRowHeight="14.4" x14ac:dyDescent="0.3"/>
  <cols>
    <col min="1" max="1" width="23.33203125" customWidth="1"/>
    <col min="2" max="2" width="26.6640625" customWidth="1"/>
    <col min="3" max="3" width="21.6640625" customWidth="1"/>
    <col min="4" max="4" width="20.109375" customWidth="1"/>
    <col min="5" max="6" width="23.109375" customWidth="1"/>
    <col min="7" max="12" width="20" customWidth="1"/>
    <col min="13" max="14" width="20" style="22" customWidth="1"/>
    <col min="15" max="28" width="20" customWidth="1"/>
    <col min="29" max="29" width="44.6640625" customWidth="1"/>
  </cols>
  <sheetData>
    <row r="1" spans="1:29" ht="30" customHeight="1" thickTop="1" thickBot="1" x14ac:dyDescent="0.35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7" t="s">
        <v>52</v>
      </c>
      <c r="L1" s="7" t="s">
        <v>53</v>
      </c>
      <c r="M1" s="20" t="s">
        <v>54</v>
      </c>
      <c r="N1" s="20" t="s">
        <v>55</v>
      </c>
      <c r="O1" s="7" t="s">
        <v>56</v>
      </c>
      <c r="P1" s="7" t="s">
        <v>57</v>
      </c>
      <c r="Q1" s="7" t="s">
        <v>58</v>
      </c>
      <c r="R1" s="7" t="s">
        <v>40</v>
      </c>
      <c r="S1" s="7" t="s">
        <v>59</v>
      </c>
      <c r="T1" s="7" t="s">
        <v>60</v>
      </c>
      <c r="U1" s="7" t="s">
        <v>61</v>
      </c>
      <c r="V1" s="7" t="s">
        <v>62</v>
      </c>
      <c r="W1" s="7" t="s">
        <v>63</v>
      </c>
      <c r="X1" s="7" t="s">
        <v>64</v>
      </c>
      <c r="Y1" s="7" t="s">
        <v>65</v>
      </c>
      <c r="Z1" s="7" t="s">
        <v>66</v>
      </c>
      <c r="AA1" s="7" t="s">
        <v>67</v>
      </c>
      <c r="AB1" s="7" t="s">
        <v>68</v>
      </c>
      <c r="AC1" s="7" t="s">
        <v>69</v>
      </c>
    </row>
    <row r="2" spans="1:29" ht="30" hidden="1" customHeight="1" thickTop="1" thickBot="1" x14ac:dyDescent="0.35">
      <c r="A2" s="8" t="s">
        <v>70</v>
      </c>
      <c r="B2" s="8"/>
      <c r="C2" s="8" t="s">
        <v>71</v>
      </c>
      <c r="D2" s="8" t="s">
        <v>72</v>
      </c>
      <c r="E2" s="8" t="s">
        <v>73</v>
      </c>
      <c r="F2" s="8"/>
      <c r="G2" s="8"/>
      <c r="H2" s="8"/>
      <c r="I2" s="8" t="s">
        <v>74</v>
      </c>
      <c r="J2" s="8" t="s">
        <v>74</v>
      </c>
      <c r="K2" s="8"/>
      <c r="L2" s="8"/>
      <c r="M2" s="8"/>
      <c r="N2" s="18">
        <v>-96747</v>
      </c>
      <c r="O2" s="8" t="s">
        <v>75</v>
      </c>
      <c r="P2" s="8" t="s">
        <v>76</v>
      </c>
      <c r="Q2" s="8" t="s">
        <v>76</v>
      </c>
      <c r="R2" s="8" t="s">
        <v>76</v>
      </c>
      <c r="S2" s="8" t="s">
        <v>76</v>
      </c>
      <c r="T2" s="8" t="s">
        <v>76</v>
      </c>
      <c r="U2" s="8" t="s">
        <v>76</v>
      </c>
      <c r="V2" s="8" t="s">
        <v>76</v>
      </c>
      <c r="W2" s="8" t="s">
        <v>76</v>
      </c>
      <c r="X2" s="8" t="s">
        <v>76</v>
      </c>
      <c r="Y2" s="8" t="s">
        <v>76</v>
      </c>
      <c r="Z2" s="8"/>
      <c r="AA2" s="8"/>
      <c r="AB2" s="8" t="s">
        <v>76</v>
      </c>
      <c r="AC2" s="8"/>
    </row>
    <row r="3" spans="1:29" ht="30" hidden="1" customHeight="1" thickTop="1" thickBot="1" x14ac:dyDescent="0.35">
      <c r="A3" s="8" t="s">
        <v>70</v>
      </c>
      <c r="B3" s="8"/>
      <c r="C3" s="8" t="s">
        <v>77</v>
      </c>
      <c r="D3" s="8" t="s">
        <v>78</v>
      </c>
      <c r="E3" s="8" t="s">
        <v>73</v>
      </c>
      <c r="F3" s="8"/>
      <c r="G3" s="8"/>
      <c r="H3" s="8"/>
      <c r="I3" s="8" t="s">
        <v>74</v>
      </c>
      <c r="J3" s="8" t="s">
        <v>74</v>
      </c>
      <c r="K3" s="8"/>
      <c r="L3" s="8"/>
      <c r="M3" s="8"/>
      <c r="N3" s="18">
        <v>-400617</v>
      </c>
      <c r="O3" s="8" t="s">
        <v>79</v>
      </c>
      <c r="P3" s="8" t="s">
        <v>76</v>
      </c>
      <c r="Q3" s="8" t="s">
        <v>76</v>
      </c>
      <c r="R3" s="8" t="s">
        <v>76</v>
      </c>
      <c r="S3" s="8" t="s">
        <v>76</v>
      </c>
      <c r="T3" s="8" t="s">
        <v>76</v>
      </c>
      <c r="U3" s="8" t="s">
        <v>76</v>
      </c>
      <c r="V3" s="8" t="s">
        <v>76</v>
      </c>
      <c r="W3" s="8" t="s">
        <v>76</v>
      </c>
      <c r="X3" s="8" t="s">
        <v>76</v>
      </c>
      <c r="Y3" s="8" t="s">
        <v>76</v>
      </c>
      <c r="Z3" s="8"/>
      <c r="AA3" s="8"/>
      <c r="AB3" s="8" t="s">
        <v>76</v>
      </c>
      <c r="AC3" s="8"/>
    </row>
    <row r="4" spans="1:29" ht="30" hidden="1" customHeight="1" thickTop="1" thickBot="1" x14ac:dyDescent="0.35">
      <c r="A4" s="8" t="s">
        <v>70</v>
      </c>
      <c r="B4" s="8"/>
      <c r="C4" s="8" t="s">
        <v>80</v>
      </c>
      <c r="D4" s="8" t="s">
        <v>81</v>
      </c>
      <c r="E4" s="8" t="s">
        <v>73</v>
      </c>
      <c r="F4" s="8"/>
      <c r="G4" s="8"/>
      <c r="H4" s="8"/>
      <c r="I4" s="8" t="s">
        <v>74</v>
      </c>
      <c r="J4" s="8" t="s">
        <v>74</v>
      </c>
      <c r="K4" s="8"/>
      <c r="L4" s="8"/>
      <c r="M4" s="8"/>
      <c r="N4" s="18">
        <v>-773974</v>
      </c>
      <c r="O4" s="8" t="s">
        <v>82</v>
      </c>
      <c r="P4" s="8" t="s">
        <v>76</v>
      </c>
      <c r="Q4" s="8" t="s">
        <v>76</v>
      </c>
      <c r="R4" s="8" t="s">
        <v>76</v>
      </c>
      <c r="S4" s="8" t="s">
        <v>76</v>
      </c>
      <c r="T4" s="8" t="s">
        <v>76</v>
      </c>
      <c r="U4" s="8" t="s">
        <v>76</v>
      </c>
      <c r="V4" s="8" t="s">
        <v>76</v>
      </c>
      <c r="W4" s="8" t="s">
        <v>76</v>
      </c>
      <c r="X4" s="8" t="s">
        <v>76</v>
      </c>
      <c r="Y4" s="8" t="s">
        <v>76</v>
      </c>
      <c r="Z4" s="8"/>
      <c r="AA4" s="8"/>
      <c r="AB4" s="8" t="s">
        <v>76</v>
      </c>
      <c r="AC4" s="8"/>
    </row>
    <row r="5" spans="1:29" ht="30" hidden="1" customHeight="1" thickTop="1" thickBot="1" x14ac:dyDescent="0.35">
      <c r="A5" s="8" t="s">
        <v>70</v>
      </c>
      <c r="B5" s="8"/>
      <c r="C5" s="8" t="s">
        <v>83</v>
      </c>
      <c r="D5" s="8" t="s">
        <v>84</v>
      </c>
      <c r="E5" s="8" t="s">
        <v>73</v>
      </c>
      <c r="F5" s="8"/>
      <c r="G5" s="8"/>
      <c r="H5" s="8"/>
      <c r="I5" s="8" t="s">
        <v>74</v>
      </c>
      <c r="J5" s="8" t="s">
        <v>74</v>
      </c>
      <c r="K5" s="8"/>
      <c r="L5" s="8"/>
      <c r="M5" s="8"/>
      <c r="N5" s="18">
        <v>-1762714</v>
      </c>
      <c r="O5" s="8" t="s">
        <v>85</v>
      </c>
      <c r="P5" s="8" t="s">
        <v>76</v>
      </c>
      <c r="Q5" s="8" t="s">
        <v>76</v>
      </c>
      <c r="R5" s="8" t="s">
        <v>76</v>
      </c>
      <c r="S5" s="8" t="s">
        <v>76</v>
      </c>
      <c r="T5" s="8" t="s">
        <v>76</v>
      </c>
      <c r="U5" s="8" t="s">
        <v>76</v>
      </c>
      <c r="V5" s="8" t="s">
        <v>76</v>
      </c>
      <c r="W5" s="8" t="s">
        <v>76</v>
      </c>
      <c r="X5" s="8" t="s">
        <v>76</v>
      </c>
      <c r="Y5" s="8" t="s">
        <v>76</v>
      </c>
      <c r="Z5" s="8"/>
      <c r="AA5" s="8"/>
      <c r="AB5" s="8" t="s">
        <v>76</v>
      </c>
      <c r="AC5" s="8"/>
    </row>
    <row r="6" spans="1:29" ht="30" hidden="1" customHeight="1" thickTop="1" thickBot="1" x14ac:dyDescent="0.35">
      <c r="A6" s="8" t="s">
        <v>70</v>
      </c>
      <c r="B6" s="8"/>
      <c r="C6" s="8" t="s">
        <v>86</v>
      </c>
      <c r="D6" s="8" t="s">
        <v>87</v>
      </c>
      <c r="E6" s="8" t="s">
        <v>73</v>
      </c>
      <c r="F6" s="8"/>
      <c r="G6" s="8"/>
      <c r="H6" s="8"/>
      <c r="I6" s="8" t="s">
        <v>74</v>
      </c>
      <c r="J6" s="8" t="s">
        <v>74</v>
      </c>
      <c r="K6" s="8"/>
      <c r="L6" s="8"/>
      <c r="M6" s="8"/>
      <c r="N6" s="18">
        <v>-2515417</v>
      </c>
      <c r="O6" s="8" t="s">
        <v>88</v>
      </c>
      <c r="P6" s="8" t="s">
        <v>76</v>
      </c>
      <c r="Q6" s="8" t="s">
        <v>76</v>
      </c>
      <c r="R6" s="8" t="s">
        <v>76</v>
      </c>
      <c r="S6" s="8" t="s">
        <v>76</v>
      </c>
      <c r="T6" s="8" t="s">
        <v>76</v>
      </c>
      <c r="U6" s="8" t="s">
        <v>76</v>
      </c>
      <c r="V6" s="8" t="s">
        <v>76</v>
      </c>
      <c r="W6" s="8" t="s">
        <v>76</v>
      </c>
      <c r="X6" s="8" t="s">
        <v>76</v>
      </c>
      <c r="Y6" s="8" t="s">
        <v>76</v>
      </c>
      <c r="Z6" s="8"/>
      <c r="AA6" s="8"/>
      <c r="AB6" s="8" t="s">
        <v>76</v>
      </c>
      <c r="AC6" s="8"/>
    </row>
    <row r="7" spans="1:29" ht="30" hidden="1" customHeight="1" thickTop="1" thickBot="1" x14ac:dyDescent="0.35">
      <c r="A7" s="8" t="s">
        <v>70</v>
      </c>
      <c r="B7" s="8"/>
      <c r="C7" s="8" t="s">
        <v>89</v>
      </c>
      <c r="D7" s="8" t="s">
        <v>90</v>
      </c>
      <c r="E7" s="8" t="s">
        <v>73</v>
      </c>
      <c r="F7" s="8"/>
      <c r="G7" s="8"/>
      <c r="H7" s="8"/>
      <c r="I7" s="8" t="s">
        <v>74</v>
      </c>
      <c r="J7" s="8" t="s">
        <v>74</v>
      </c>
      <c r="K7" s="8"/>
      <c r="L7" s="8"/>
      <c r="M7" s="8"/>
      <c r="N7" s="18">
        <v>-2902404</v>
      </c>
      <c r="O7" s="8" t="s">
        <v>91</v>
      </c>
      <c r="P7" s="8" t="s">
        <v>76</v>
      </c>
      <c r="Q7" s="8" t="s">
        <v>76</v>
      </c>
      <c r="R7" s="8" t="s">
        <v>76</v>
      </c>
      <c r="S7" s="8" t="s">
        <v>76</v>
      </c>
      <c r="T7" s="8" t="s">
        <v>76</v>
      </c>
      <c r="U7" s="8" t="s">
        <v>76</v>
      </c>
      <c r="V7" s="8" t="s">
        <v>76</v>
      </c>
      <c r="W7" s="8" t="s">
        <v>76</v>
      </c>
      <c r="X7" s="8" t="s">
        <v>76</v>
      </c>
      <c r="Y7" s="8" t="s">
        <v>76</v>
      </c>
      <c r="Z7" s="8"/>
      <c r="AA7" s="8"/>
      <c r="AB7" s="8" t="s">
        <v>76</v>
      </c>
      <c r="AC7" s="8"/>
    </row>
    <row r="8" spans="1:29" ht="30" hidden="1" customHeight="1" thickTop="1" thickBot="1" x14ac:dyDescent="0.35">
      <c r="A8" s="8" t="s">
        <v>70</v>
      </c>
      <c r="B8" s="8"/>
      <c r="C8" s="8" t="s">
        <v>92</v>
      </c>
      <c r="D8" s="8" t="s">
        <v>93</v>
      </c>
      <c r="E8" s="8" t="s">
        <v>73</v>
      </c>
      <c r="F8" s="8"/>
      <c r="G8" s="8"/>
      <c r="H8" s="8"/>
      <c r="I8" s="8" t="s">
        <v>74</v>
      </c>
      <c r="J8" s="8" t="s">
        <v>74</v>
      </c>
      <c r="K8" s="8"/>
      <c r="L8" s="8"/>
      <c r="M8" s="8"/>
      <c r="N8" s="18">
        <v>-4125942</v>
      </c>
      <c r="O8" s="8" t="s">
        <v>94</v>
      </c>
      <c r="P8" s="8" t="s">
        <v>76</v>
      </c>
      <c r="Q8" s="8" t="s">
        <v>76</v>
      </c>
      <c r="R8" s="8" t="s">
        <v>76</v>
      </c>
      <c r="S8" s="8" t="s">
        <v>76</v>
      </c>
      <c r="T8" s="8" t="s">
        <v>76</v>
      </c>
      <c r="U8" s="8" t="s">
        <v>76</v>
      </c>
      <c r="V8" s="8" t="s">
        <v>76</v>
      </c>
      <c r="W8" s="8" t="s">
        <v>76</v>
      </c>
      <c r="X8" s="8" t="s">
        <v>76</v>
      </c>
      <c r="Y8" s="8" t="s">
        <v>76</v>
      </c>
      <c r="Z8" s="8"/>
      <c r="AA8" s="8"/>
      <c r="AB8" s="8" t="s">
        <v>76</v>
      </c>
      <c r="AC8" s="8"/>
    </row>
    <row r="9" spans="1:29" ht="30" hidden="1" customHeight="1" thickTop="1" thickBot="1" x14ac:dyDescent="0.35">
      <c r="A9" s="8" t="s">
        <v>70</v>
      </c>
      <c r="B9" s="8"/>
      <c r="C9" s="8" t="s">
        <v>95</v>
      </c>
      <c r="D9" s="8" t="s">
        <v>96</v>
      </c>
      <c r="E9" s="8" t="s">
        <v>73</v>
      </c>
      <c r="F9" s="8"/>
      <c r="G9" s="8"/>
      <c r="H9" s="8"/>
      <c r="I9" s="8" t="s">
        <v>74</v>
      </c>
      <c r="J9" s="8" t="s">
        <v>74</v>
      </c>
      <c r="K9" s="8"/>
      <c r="L9" s="8"/>
      <c r="M9" s="8"/>
      <c r="N9" s="18">
        <v>-5220427</v>
      </c>
      <c r="O9" s="8" t="s">
        <v>97</v>
      </c>
      <c r="P9" s="8" t="s">
        <v>76</v>
      </c>
      <c r="Q9" s="8" t="s">
        <v>76</v>
      </c>
      <c r="R9" s="8" t="s">
        <v>76</v>
      </c>
      <c r="S9" s="8" t="s">
        <v>76</v>
      </c>
      <c r="T9" s="8" t="s">
        <v>76</v>
      </c>
      <c r="U9" s="8" t="s">
        <v>76</v>
      </c>
      <c r="V9" s="8" t="s">
        <v>76</v>
      </c>
      <c r="W9" s="8" t="s">
        <v>76</v>
      </c>
      <c r="X9" s="8" t="s">
        <v>76</v>
      </c>
      <c r="Y9" s="8" t="s">
        <v>76</v>
      </c>
      <c r="Z9" s="8"/>
      <c r="AA9" s="8"/>
      <c r="AB9" s="8" t="s">
        <v>76</v>
      </c>
      <c r="AC9" s="8"/>
    </row>
    <row r="10" spans="1:29" ht="30" hidden="1" customHeight="1" thickTop="1" thickBot="1" x14ac:dyDescent="0.35">
      <c r="A10" s="8" t="s">
        <v>70</v>
      </c>
      <c r="B10" s="8"/>
      <c r="C10" s="8" t="s">
        <v>98</v>
      </c>
      <c r="D10" s="8" t="s">
        <v>99</v>
      </c>
      <c r="E10" s="8" t="s">
        <v>73</v>
      </c>
      <c r="F10" s="8"/>
      <c r="G10" s="8"/>
      <c r="H10" s="8"/>
      <c r="I10" s="8" t="s">
        <v>74</v>
      </c>
      <c r="J10" s="8" t="s">
        <v>74</v>
      </c>
      <c r="K10" s="8"/>
      <c r="L10" s="8"/>
      <c r="M10" s="8"/>
      <c r="N10" s="18">
        <v>-5281206</v>
      </c>
      <c r="O10" s="8" t="s">
        <v>100</v>
      </c>
      <c r="P10" s="8" t="s">
        <v>76</v>
      </c>
      <c r="Q10" s="8" t="s">
        <v>76</v>
      </c>
      <c r="R10" s="8" t="s">
        <v>76</v>
      </c>
      <c r="S10" s="8" t="s">
        <v>76</v>
      </c>
      <c r="T10" s="8" t="s">
        <v>76</v>
      </c>
      <c r="U10" s="8" t="s">
        <v>76</v>
      </c>
      <c r="V10" s="8" t="s">
        <v>76</v>
      </c>
      <c r="W10" s="8" t="s">
        <v>76</v>
      </c>
      <c r="X10" s="8" t="s">
        <v>76</v>
      </c>
      <c r="Y10" s="8" t="s">
        <v>76</v>
      </c>
      <c r="Z10" s="8"/>
      <c r="AA10" s="8"/>
      <c r="AB10" s="8" t="s">
        <v>76</v>
      </c>
      <c r="AC10" s="8"/>
    </row>
    <row r="11" spans="1:29" ht="30" hidden="1" customHeight="1" thickTop="1" thickBot="1" x14ac:dyDescent="0.35">
      <c r="A11" s="8" t="s">
        <v>70</v>
      </c>
      <c r="B11" s="8"/>
      <c r="C11" s="8" t="s">
        <v>101</v>
      </c>
      <c r="D11" s="8" t="s">
        <v>102</v>
      </c>
      <c r="E11" s="8" t="s">
        <v>73</v>
      </c>
      <c r="F11" s="8"/>
      <c r="G11" s="8"/>
      <c r="H11" s="8"/>
      <c r="I11" s="8" t="s">
        <v>74</v>
      </c>
      <c r="J11" s="8" t="s">
        <v>74</v>
      </c>
      <c r="K11" s="8"/>
      <c r="L11" s="8"/>
      <c r="M11" s="8"/>
      <c r="N11" s="18">
        <v>-8352683</v>
      </c>
      <c r="O11" s="8" t="s">
        <v>103</v>
      </c>
      <c r="P11" s="8" t="s">
        <v>76</v>
      </c>
      <c r="Q11" s="8" t="s">
        <v>76</v>
      </c>
      <c r="R11" s="8" t="s">
        <v>76</v>
      </c>
      <c r="S11" s="8" t="s">
        <v>76</v>
      </c>
      <c r="T11" s="8" t="s">
        <v>76</v>
      </c>
      <c r="U11" s="8" t="s">
        <v>76</v>
      </c>
      <c r="V11" s="8" t="s">
        <v>76</v>
      </c>
      <c r="W11" s="8" t="s">
        <v>76</v>
      </c>
      <c r="X11" s="8" t="s">
        <v>76</v>
      </c>
      <c r="Y11" s="8" t="s">
        <v>76</v>
      </c>
      <c r="Z11" s="8"/>
      <c r="AA11" s="8"/>
      <c r="AB11" s="8" t="s">
        <v>76</v>
      </c>
      <c r="AC11" s="8"/>
    </row>
    <row r="12" spans="1:29" ht="30" hidden="1" customHeight="1" thickTop="1" thickBot="1" x14ac:dyDescent="0.35">
      <c r="A12" s="8" t="s">
        <v>70</v>
      </c>
      <c r="B12" s="8"/>
      <c r="C12" s="8" t="s">
        <v>104</v>
      </c>
      <c r="D12" s="8" t="s">
        <v>105</v>
      </c>
      <c r="E12" s="8" t="s">
        <v>73</v>
      </c>
      <c r="F12" s="8"/>
      <c r="G12" s="8"/>
      <c r="H12" s="8"/>
      <c r="I12" s="8" t="s">
        <v>74</v>
      </c>
      <c r="J12" s="8" t="s">
        <v>74</v>
      </c>
      <c r="K12" s="8"/>
      <c r="L12" s="8"/>
      <c r="M12" s="8"/>
      <c r="N12" s="18">
        <v>-13523004</v>
      </c>
      <c r="O12" s="8" t="s">
        <v>106</v>
      </c>
      <c r="P12" s="8" t="s">
        <v>76</v>
      </c>
      <c r="Q12" s="8" t="s">
        <v>76</v>
      </c>
      <c r="R12" s="8" t="s">
        <v>76</v>
      </c>
      <c r="S12" s="8" t="s">
        <v>76</v>
      </c>
      <c r="T12" s="8" t="s">
        <v>76</v>
      </c>
      <c r="U12" s="8" t="s">
        <v>76</v>
      </c>
      <c r="V12" s="8" t="s">
        <v>76</v>
      </c>
      <c r="W12" s="8" t="s">
        <v>76</v>
      </c>
      <c r="X12" s="8" t="s">
        <v>76</v>
      </c>
      <c r="Y12" s="8" t="s">
        <v>76</v>
      </c>
      <c r="Z12" s="8"/>
      <c r="AA12" s="8"/>
      <c r="AB12" s="8" t="s">
        <v>76</v>
      </c>
      <c r="AC12" s="8"/>
    </row>
    <row r="13" spans="1:29" ht="30" hidden="1" customHeight="1" thickTop="1" thickBot="1" x14ac:dyDescent="0.35">
      <c r="A13" s="8" t="s">
        <v>70</v>
      </c>
      <c r="B13" s="8"/>
      <c r="C13" s="8" t="s">
        <v>107</v>
      </c>
      <c r="D13" s="8" t="s">
        <v>108</v>
      </c>
      <c r="E13" s="8" t="s">
        <v>73</v>
      </c>
      <c r="F13" s="8"/>
      <c r="G13" s="8"/>
      <c r="H13" s="8"/>
      <c r="I13" s="8" t="s">
        <v>74</v>
      </c>
      <c r="J13" s="8" t="s">
        <v>74</v>
      </c>
      <c r="K13" s="8"/>
      <c r="L13" s="8"/>
      <c r="M13" s="8"/>
      <c r="N13" s="18">
        <v>-18979334</v>
      </c>
      <c r="O13" s="8" t="s">
        <v>109</v>
      </c>
      <c r="P13" s="8" t="s">
        <v>76</v>
      </c>
      <c r="Q13" s="8" t="s">
        <v>76</v>
      </c>
      <c r="R13" s="8" t="s">
        <v>76</v>
      </c>
      <c r="S13" s="8" t="s">
        <v>76</v>
      </c>
      <c r="T13" s="8" t="s">
        <v>76</v>
      </c>
      <c r="U13" s="8" t="s">
        <v>76</v>
      </c>
      <c r="V13" s="8" t="s">
        <v>76</v>
      </c>
      <c r="W13" s="8" t="s">
        <v>76</v>
      </c>
      <c r="X13" s="8" t="s">
        <v>76</v>
      </c>
      <c r="Y13" s="8" t="s">
        <v>76</v>
      </c>
      <c r="Z13" s="8"/>
      <c r="AA13" s="8"/>
      <c r="AB13" s="8" t="s">
        <v>76</v>
      </c>
      <c r="AC13" s="8"/>
    </row>
    <row r="14" spans="1:29" ht="30" hidden="1" customHeight="1" thickTop="1" thickBot="1" x14ac:dyDescent="0.35">
      <c r="A14" s="8" t="s">
        <v>70</v>
      </c>
      <c r="B14" s="8"/>
      <c r="C14" s="8" t="s">
        <v>110</v>
      </c>
      <c r="D14" s="8" t="s">
        <v>111</v>
      </c>
      <c r="E14" s="8" t="s">
        <v>73</v>
      </c>
      <c r="F14" s="8"/>
      <c r="G14" s="8"/>
      <c r="H14" s="8"/>
      <c r="I14" s="8" t="s">
        <v>74</v>
      </c>
      <c r="J14" s="8" t="s">
        <v>74</v>
      </c>
      <c r="K14" s="8"/>
      <c r="L14" s="8"/>
      <c r="M14" s="8"/>
      <c r="N14" s="18">
        <v>-22969880</v>
      </c>
      <c r="O14" s="8" t="s">
        <v>112</v>
      </c>
      <c r="P14" s="8" t="s">
        <v>76</v>
      </c>
      <c r="Q14" s="8" t="s">
        <v>76</v>
      </c>
      <c r="R14" s="8" t="s">
        <v>76</v>
      </c>
      <c r="S14" s="8" t="s">
        <v>76</v>
      </c>
      <c r="T14" s="8" t="s">
        <v>76</v>
      </c>
      <c r="U14" s="8" t="s">
        <v>76</v>
      </c>
      <c r="V14" s="8" t="s">
        <v>76</v>
      </c>
      <c r="W14" s="8" t="s">
        <v>76</v>
      </c>
      <c r="X14" s="8" t="s">
        <v>76</v>
      </c>
      <c r="Y14" s="8" t="s">
        <v>76</v>
      </c>
      <c r="Z14" s="8"/>
      <c r="AA14" s="8"/>
      <c r="AB14" s="8" t="s">
        <v>76</v>
      </c>
      <c r="AC14" s="8"/>
    </row>
    <row r="15" spans="1:29" ht="30" hidden="1" customHeight="1" thickTop="1" thickBot="1" x14ac:dyDescent="0.35">
      <c r="A15" s="8" t="s">
        <v>70</v>
      </c>
      <c r="B15" s="8"/>
      <c r="C15" s="8" t="s">
        <v>113</v>
      </c>
      <c r="D15" s="8" t="s">
        <v>114</v>
      </c>
      <c r="E15" s="8" t="s">
        <v>73</v>
      </c>
      <c r="F15" s="8"/>
      <c r="G15" s="8"/>
      <c r="H15" s="8"/>
      <c r="I15" s="8" t="s">
        <v>74</v>
      </c>
      <c r="J15" s="8" t="s">
        <v>74</v>
      </c>
      <c r="K15" s="8"/>
      <c r="L15" s="8"/>
      <c r="M15" s="8"/>
      <c r="N15" s="18">
        <v>-25545390</v>
      </c>
      <c r="O15" s="8" t="s">
        <v>115</v>
      </c>
      <c r="P15" s="8" t="s">
        <v>76</v>
      </c>
      <c r="Q15" s="8" t="s">
        <v>76</v>
      </c>
      <c r="R15" s="8" t="s">
        <v>76</v>
      </c>
      <c r="S15" s="8" t="s">
        <v>76</v>
      </c>
      <c r="T15" s="8" t="s">
        <v>76</v>
      </c>
      <c r="U15" s="8" t="s">
        <v>76</v>
      </c>
      <c r="V15" s="8" t="s">
        <v>76</v>
      </c>
      <c r="W15" s="8" t="s">
        <v>76</v>
      </c>
      <c r="X15" s="8" t="s">
        <v>76</v>
      </c>
      <c r="Y15" s="8" t="s">
        <v>76</v>
      </c>
      <c r="Z15" s="8"/>
      <c r="AA15" s="8"/>
      <c r="AB15" s="8" t="s">
        <v>76</v>
      </c>
      <c r="AC15" s="8"/>
    </row>
    <row r="16" spans="1:29" ht="30" hidden="1" customHeight="1" thickTop="1" thickBot="1" x14ac:dyDescent="0.35">
      <c r="A16" s="8" t="s">
        <v>70</v>
      </c>
      <c r="B16" s="8"/>
      <c r="C16" s="8" t="s">
        <v>116</v>
      </c>
      <c r="D16" s="8" t="s">
        <v>117</v>
      </c>
      <c r="E16" s="8" t="s">
        <v>73</v>
      </c>
      <c r="F16" s="8"/>
      <c r="G16" s="8"/>
      <c r="H16" s="8"/>
      <c r="I16" s="8" t="s">
        <v>74</v>
      </c>
      <c r="J16" s="8" t="s">
        <v>74</v>
      </c>
      <c r="K16" s="8"/>
      <c r="L16" s="8"/>
      <c r="M16" s="8"/>
      <c r="N16" s="18">
        <v>-66065664</v>
      </c>
      <c r="O16" s="8" t="s">
        <v>118</v>
      </c>
      <c r="P16" s="8" t="s">
        <v>76</v>
      </c>
      <c r="Q16" s="8" t="s">
        <v>76</v>
      </c>
      <c r="R16" s="8" t="s">
        <v>76</v>
      </c>
      <c r="S16" s="8" t="s">
        <v>76</v>
      </c>
      <c r="T16" s="8" t="s">
        <v>76</v>
      </c>
      <c r="U16" s="8" t="s">
        <v>76</v>
      </c>
      <c r="V16" s="8" t="s">
        <v>76</v>
      </c>
      <c r="W16" s="8" t="s">
        <v>76</v>
      </c>
      <c r="X16" s="8" t="s">
        <v>76</v>
      </c>
      <c r="Y16" s="8" t="s">
        <v>76</v>
      </c>
      <c r="Z16" s="8"/>
      <c r="AA16" s="8"/>
      <c r="AB16" s="8" t="s">
        <v>76</v>
      </c>
      <c r="AC16" s="8"/>
    </row>
    <row r="17" spans="1:29" ht="30" hidden="1" customHeight="1" thickTop="1" thickBot="1" x14ac:dyDescent="0.35">
      <c r="A17" s="8" t="s">
        <v>70</v>
      </c>
      <c r="B17" s="8"/>
      <c r="C17" s="8" t="s">
        <v>119</v>
      </c>
      <c r="D17" s="8" t="s">
        <v>120</v>
      </c>
      <c r="E17" s="8" t="s">
        <v>73</v>
      </c>
      <c r="F17" s="8"/>
      <c r="G17" s="8"/>
      <c r="H17" s="8"/>
      <c r="I17" s="8" t="s">
        <v>74</v>
      </c>
      <c r="J17" s="8" t="s">
        <v>74</v>
      </c>
      <c r="K17" s="8"/>
      <c r="L17" s="8"/>
      <c r="M17" s="8"/>
      <c r="N17" s="18">
        <v>-80600110</v>
      </c>
      <c r="O17" s="8" t="s">
        <v>121</v>
      </c>
      <c r="P17" s="8" t="s">
        <v>76</v>
      </c>
      <c r="Q17" s="8" t="s">
        <v>76</v>
      </c>
      <c r="R17" s="8" t="s">
        <v>76</v>
      </c>
      <c r="S17" s="8" t="s">
        <v>76</v>
      </c>
      <c r="T17" s="8" t="s">
        <v>76</v>
      </c>
      <c r="U17" s="8" t="s">
        <v>76</v>
      </c>
      <c r="V17" s="8" t="s">
        <v>76</v>
      </c>
      <c r="W17" s="8" t="s">
        <v>76</v>
      </c>
      <c r="X17" s="8" t="s">
        <v>76</v>
      </c>
      <c r="Y17" s="8" t="s">
        <v>76</v>
      </c>
      <c r="Z17" s="8"/>
      <c r="AA17" s="8"/>
      <c r="AB17" s="8" t="s">
        <v>76</v>
      </c>
      <c r="AC17" s="8"/>
    </row>
    <row r="18" spans="1:29" ht="30" hidden="1" customHeight="1" thickTop="1" thickBot="1" x14ac:dyDescent="0.35">
      <c r="A18" s="8" t="s">
        <v>70</v>
      </c>
      <c r="B18" s="8"/>
      <c r="C18" s="8" t="s">
        <v>122</v>
      </c>
      <c r="D18" s="8" t="s">
        <v>123</v>
      </c>
      <c r="E18" s="8" t="s">
        <v>73</v>
      </c>
      <c r="F18" s="8"/>
      <c r="G18" s="8"/>
      <c r="H18" s="8"/>
      <c r="I18" s="8" t="s">
        <v>74</v>
      </c>
      <c r="J18" s="8" t="s">
        <v>74</v>
      </c>
      <c r="K18" s="8"/>
      <c r="L18" s="8"/>
      <c r="M18" s="8"/>
      <c r="N18" s="18">
        <v>-111430753</v>
      </c>
      <c r="O18" s="8" t="s">
        <v>124</v>
      </c>
      <c r="P18" s="8" t="s">
        <v>76</v>
      </c>
      <c r="Q18" s="8" t="s">
        <v>76</v>
      </c>
      <c r="R18" s="8" t="s">
        <v>76</v>
      </c>
      <c r="S18" s="8" t="s">
        <v>76</v>
      </c>
      <c r="T18" s="8" t="s">
        <v>76</v>
      </c>
      <c r="U18" s="8" t="s">
        <v>76</v>
      </c>
      <c r="V18" s="8" t="s">
        <v>76</v>
      </c>
      <c r="W18" s="8" t="s">
        <v>76</v>
      </c>
      <c r="X18" s="8" t="s">
        <v>76</v>
      </c>
      <c r="Y18" s="8" t="s">
        <v>76</v>
      </c>
      <c r="Z18" s="8"/>
      <c r="AA18" s="8"/>
      <c r="AB18" s="8" t="s">
        <v>76</v>
      </c>
      <c r="AC18" s="8"/>
    </row>
    <row r="19" spans="1:29" ht="30" hidden="1" customHeight="1" thickTop="1" thickBot="1" x14ac:dyDescent="0.35">
      <c r="A19" s="8" t="s">
        <v>70</v>
      </c>
      <c r="B19" s="8"/>
      <c r="C19" s="8" t="s">
        <v>125</v>
      </c>
      <c r="D19" s="8" t="s">
        <v>126</v>
      </c>
      <c r="E19" s="8" t="s">
        <v>127</v>
      </c>
      <c r="F19" s="8"/>
      <c r="G19" s="8"/>
      <c r="H19" s="8"/>
      <c r="I19" s="8" t="s">
        <v>74</v>
      </c>
      <c r="J19" s="8" t="s">
        <v>74</v>
      </c>
      <c r="K19" s="8"/>
      <c r="L19" s="8"/>
      <c r="M19" s="8"/>
      <c r="N19" s="18">
        <v>-39949641</v>
      </c>
      <c r="O19" s="8" t="s">
        <v>128</v>
      </c>
      <c r="P19" s="8" t="s">
        <v>76</v>
      </c>
      <c r="Q19" s="8" t="s">
        <v>76</v>
      </c>
      <c r="R19" s="8" t="s">
        <v>76</v>
      </c>
      <c r="S19" s="8" t="s">
        <v>76</v>
      </c>
      <c r="T19" s="8" t="s">
        <v>76</v>
      </c>
      <c r="U19" s="8" t="s">
        <v>76</v>
      </c>
      <c r="V19" s="8" t="s">
        <v>76</v>
      </c>
      <c r="W19" s="8" t="s">
        <v>76</v>
      </c>
      <c r="X19" s="8" t="s">
        <v>76</v>
      </c>
      <c r="Y19" s="8" t="s">
        <v>76</v>
      </c>
      <c r="Z19" s="8"/>
      <c r="AA19" s="8"/>
      <c r="AB19" s="8" t="s">
        <v>76</v>
      </c>
      <c r="AC19" s="8"/>
    </row>
    <row r="20" spans="1:29" ht="30" hidden="1" customHeight="1" thickTop="1" thickBot="1" x14ac:dyDescent="0.35">
      <c r="A20" s="8" t="s">
        <v>70</v>
      </c>
      <c r="B20" s="8"/>
      <c r="C20" s="8" t="s">
        <v>129</v>
      </c>
      <c r="D20" s="8" t="s">
        <v>130</v>
      </c>
      <c r="E20" s="8" t="s">
        <v>131</v>
      </c>
      <c r="F20" s="8"/>
      <c r="G20" s="8"/>
      <c r="H20" s="8"/>
      <c r="I20" s="8" t="s">
        <v>74</v>
      </c>
      <c r="J20" s="8" t="s">
        <v>74</v>
      </c>
      <c r="K20" s="8"/>
      <c r="L20" s="8"/>
      <c r="M20" s="8"/>
      <c r="N20" s="18">
        <v>-10000000</v>
      </c>
      <c r="O20" s="8" t="s">
        <v>132</v>
      </c>
      <c r="P20" s="8" t="s">
        <v>76</v>
      </c>
      <c r="Q20" s="8" t="s">
        <v>76</v>
      </c>
      <c r="R20" s="8" t="s">
        <v>76</v>
      </c>
      <c r="S20" s="8" t="s">
        <v>76</v>
      </c>
      <c r="T20" s="8" t="s">
        <v>76</v>
      </c>
      <c r="U20" s="8" t="s">
        <v>76</v>
      </c>
      <c r="V20" s="8" t="s">
        <v>76</v>
      </c>
      <c r="W20" s="8" t="s">
        <v>76</v>
      </c>
      <c r="X20" s="8" t="s">
        <v>76</v>
      </c>
      <c r="Y20" s="8" t="s">
        <v>76</v>
      </c>
      <c r="Z20" s="8"/>
      <c r="AA20" s="8"/>
      <c r="AB20" s="8" t="s">
        <v>76</v>
      </c>
      <c r="AC20" s="8"/>
    </row>
    <row r="21" spans="1:29" ht="30" hidden="1" customHeight="1" thickTop="1" thickBot="1" x14ac:dyDescent="0.35">
      <c r="A21" s="8" t="s">
        <v>70</v>
      </c>
      <c r="B21" s="8"/>
      <c r="C21" s="8" t="s">
        <v>133</v>
      </c>
      <c r="D21" s="8" t="s">
        <v>134</v>
      </c>
      <c r="E21" s="8" t="s">
        <v>131</v>
      </c>
      <c r="F21" s="8"/>
      <c r="G21" s="8"/>
      <c r="H21" s="8"/>
      <c r="I21" s="8" t="s">
        <v>74</v>
      </c>
      <c r="J21" s="8" t="s">
        <v>74</v>
      </c>
      <c r="K21" s="8"/>
      <c r="L21" s="8"/>
      <c r="M21" s="8"/>
      <c r="N21" s="18">
        <v>-13860888</v>
      </c>
      <c r="O21" s="8" t="s">
        <v>135</v>
      </c>
      <c r="P21" s="8" t="s">
        <v>76</v>
      </c>
      <c r="Q21" s="8" t="s">
        <v>76</v>
      </c>
      <c r="R21" s="8" t="s">
        <v>76</v>
      </c>
      <c r="S21" s="8" t="s">
        <v>76</v>
      </c>
      <c r="T21" s="8" t="s">
        <v>76</v>
      </c>
      <c r="U21" s="8" t="s">
        <v>76</v>
      </c>
      <c r="V21" s="8" t="s">
        <v>76</v>
      </c>
      <c r="W21" s="8" t="s">
        <v>76</v>
      </c>
      <c r="X21" s="8" t="s">
        <v>76</v>
      </c>
      <c r="Y21" s="8" t="s">
        <v>76</v>
      </c>
      <c r="Z21" s="8"/>
      <c r="AA21" s="8"/>
      <c r="AB21" s="8" t="s">
        <v>76</v>
      </c>
      <c r="AC21" s="8"/>
    </row>
    <row r="22" spans="1:29" ht="30" hidden="1" customHeight="1" thickTop="1" thickBot="1" x14ac:dyDescent="0.35">
      <c r="A22" s="8" t="s">
        <v>70</v>
      </c>
      <c r="B22" s="8"/>
      <c r="C22" s="8" t="s">
        <v>136</v>
      </c>
      <c r="D22" s="8" t="s">
        <v>137</v>
      </c>
      <c r="E22" s="8" t="s">
        <v>131</v>
      </c>
      <c r="F22" s="8"/>
      <c r="G22" s="8"/>
      <c r="H22" s="8"/>
      <c r="I22" s="8" t="s">
        <v>74</v>
      </c>
      <c r="J22" s="8" t="s">
        <v>74</v>
      </c>
      <c r="K22" s="8"/>
      <c r="L22" s="8"/>
      <c r="M22" s="8"/>
      <c r="N22" s="18">
        <v>-25898273</v>
      </c>
      <c r="O22" s="8" t="s">
        <v>138</v>
      </c>
      <c r="P22" s="8" t="s">
        <v>76</v>
      </c>
      <c r="Q22" s="8" t="s">
        <v>76</v>
      </c>
      <c r="R22" s="8" t="s">
        <v>76</v>
      </c>
      <c r="S22" s="8" t="s">
        <v>76</v>
      </c>
      <c r="T22" s="8" t="s">
        <v>76</v>
      </c>
      <c r="U22" s="8" t="s">
        <v>76</v>
      </c>
      <c r="V22" s="8" t="s">
        <v>76</v>
      </c>
      <c r="W22" s="8" t="s">
        <v>76</v>
      </c>
      <c r="X22" s="8" t="s">
        <v>76</v>
      </c>
      <c r="Y22" s="8" t="s">
        <v>76</v>
      </c>
      <c r="Z22" s="8"/>
      <c r="AA22" s="8"/>
      <c r="AB22" s="8" t="s">
        <v>76</v>
      </c>
      <c r="AC22" s="8"/>
    </row>
    <row r="23" spans="1:29" ht="30" hidden="1" customHeight="1" thickTop="1" thickBot="1" x14ac:dyDescent="0.35">
      <c r="A23" s="8" t="s">
        <v>70</v>
      </c>
      <c r="B23" s="8"/>
      <c r="C23" s="8" t="s">
        <v>139</v>
      </c>
      <c r="D23" s="8" t="s">
        <v>140</v>
      </c>
      <c r="E23" s="8" t="s">
        <v>131</v>
      </c>
      <c r="F23" s="8"/>
      <c r="G23" s="8"/>
      <c r="H23" s="8"/>
      <c r="I23" s="8" t="s">
        <v>74</v>
      </c>
      <c r="J23" s="8" t="s">
        <v>74</v>
      </c>
      <c r="K23" s="8"/>
      <c r="L23" s="8"/>
      <c r="M23" s="8"/>
      <c r="N23" s="18">
        <v>-386601164</v>
      </c>
      <c r="O23" s="8" t="s">
        <v>141</v>
      </c>
      <c r="P23" s="8" t="s">
        <v>76</v>
      </c>
      <c r="Q23" s="8" t="s">
        <v>76</v>
      </c>
      <c r="R23" s="8" t="s">
        <v>76</v>
      </c>
      <c r="S23" s="8" t="s">
        <v>76</v>
      </c>
      <c r="T23" s="8" t="s">
        <v>76</v>
      </c>
      <c r="U23" s="8" t="s">
        <v>76</v>
      </c>
      <c r="V23" s="8" t="s">
        <v>76</v>
      </c>
      <c r="W23" s="8" t="s">
        <v>76</v>
      </c>
      <c r="X23" s="8" t="s">
        <v>76</v>
      </c>
      <c r="Y23" s="8" t="s">
        <v>76</v>
      </c>
      <c r="Z23" s="8"/>
      <c r="AA23" s="8"/>
      <c r="AB23" s="8" t="s">
        <v>76</v>
      </c>
      <c r="AC23" s="8"/>
    </row>
    <row r="24" spans="1:29" ht="30" hidden="1" customHeight="1" thickTop="1" thickBot="1" x14ac:dyDescent="0.35">
      <c r="A24" s="8" t="s">
        <v>70</v>
      </c>
      <c r="B24" s="8"/>
      <c r="C24" s="8" t="s">
        <v>142</v>
      </c>
      <c r="D24" s="8" t="s">
        <v>143</v>
      </c>
      <c r="E24" s="8" t="s">
        <v>144</v>
      </c>
      <c r="F24" s="8"/>
      <c r="G24" s="8"/>
      <c r="H24" s="8"/>
      <c r="I24" s="8" t="s">
        <v>74</v>
      </c>
      <c r="J24" s="8" t="s">
        <v>74</v>
      </c>
      <c r="K24" s="8"/>
      <c r="L24" s="8"/>
      <c r="M24" s="8"/>
      <c r="N24" s="18">
        <v>-26648820</v>
      </c>
      <c r="O24" s="8" t="s">
        <v>145</v>
      </c>
      <c r="P24" s="8" t="s">
        <v>76</v>
      </c>
      <c r="Q24" s="8" t="s">
        <v>76</v>
      </c>
      <c r="R24" s="8" t="s">
        <v>76</v>
      </c>
      <c r="S24" s="8" t="s">
        <v>76</v>
      </c>
      <c r="T24" s="8" t="s">
        <v>76</v>
      </c>
      <c r="U24" s="8" t="s">
        <v>76</v>
      </c>
      <c r="V24" s="8" t="s">
        <v>76</v>
      </c>
      <c r="W24" s="8" t="s">
        <v>76</v>
      </c>
      <c r="X24" s="8" t="s">
        <v>76</v>
      </c>
      <c r="Y24" s="8" t="s">
        <v>76</v>
      </c>
      <c r="Z24" s="8"/>
      <c r="AA24" s="8"/>
      <c r="AB24" s="8" t="s">
        <v>76</v>
      </c>
      <c r="AC24" s="8"/>
    </row>
    <row r="25" spans="1:29" ht="30" hidden="1" customHeight="1" thickTop="1" thickBot="1" x14ac:dyDescent="0.35">
      <c r="A25" s="8" t="s">
        <v>70</v>
      </c>
      <c r="B25" s="8"/>
      <c r="C25" s="8" t="s">
        <v>146</v>
      </c>
      <c r="D25" s="8" t="s">
        <v>147</v>
      </c>
      <c r="E25" s="8" t="s">
        <v>144</v>
      </c>
      <c r="F25" s="8"/>
      <c r="G25" s="8"/>
      <c r="H25" s="8"/>
      <c r="I25" s="8" t="s">
        <v>74</v>
      </c>
      <c r="J25" s="8" t="s">
        <v>74</v>
      </c>
      <c r="K25" s="8"/>
      <c r="L25" s="8"/>
      <c r="M25" s="8"/>
      <c r="N25" s="18">
        <v>-20648820</v>
      </c>
      <c r="O25" s="8" t="s">
        <v>148</v>
      </c>
      <c r="P25" s="8" t="s">
        <v>76</v>
      </c>
      <c r="Q25" s="8" t="s">
        <v>76</v>
      </c>
      <c r="R25" s="8" t="s">
        <v>76</v>
      </c>
      <c r="S25" s="8" t="s">
        <v>76</v>
      </c>
      <c r="T25" s="8" t="s">
        <v>76</v>
      </c>
      <c r="U25" s="8" t="s">
        <v>76</v>
      </c>
      <c r="V25" s="8" t="s">
        <v>76</v>
      </c>
      <c r="W25" s="8" t="s">
        <v>76</v>
      </c>
      <c r="X25" s="8" t="s">
        <v>76</v>
      </c>
      <c r="Y25" s="8" t="s">
        <v>76</v>
      </c>
      <c r="Z25" s="8"/>
      <c r="AA25" s="8"/>
      <c r="AB25" s="8" t="s">
        <v>76</v>
      </c>
      <c r="AC25" s="8"/>
    </row>
    <row r="26" spans="1:29" ht="30" hidden="1" customHeight="1" thickTop="1" thickBot="1" x14ac:dyDescent="0.35">
      <c r="A26" s="8" t="s">
        <v>70</v>
      </c>
      <c r="B26" s="8"/>
      <c r="C26" s="8" t="s">
        <v>149</v>
      </c>
      <c r="D26" s="8" t="s">
        <v>150</v>
      </c>
      <c r="E26" s="8" t="s">
        <v>151</v>
      </c>
      <c r="F26" s="8"/>
      <c r="G26" s="8"/>
      <c r="H26" s="8"/>
      <c r="I26" s="8" t="s">
        <v>74</v>
      </c>
      <c r="J26" s="8" t="s">
        <v>74</v>
      </c>
      <c r="K26" s="8"/>
      <c r="L26" s="8"/>
      <c r="M26" s="8"/>
      <c r="N26" s="18">
        <v>-13189484</v>
      </c>
      <c r="O26" s="8" t="s">
        <v>152</v>
      </c>
      <c r="P26" s="8" t="s">
        <v>76</v>
      </c>
      <c r="Q26" s="8" t="s">
        <v>76</v>
      </c>
      <c r="R26" s="8" t="s">
        <v>76</v>
      </c>
      <c r="S26" s="8" t="s">
        <v>76</v>
      </c>
      <c r="T26" s="8" t="s">
        <v>76</v>
      </c>
      <c r="U26" s="8" t="s">
        <v>76</v>
      </c>
      <c r="V26" s="8" t="s">
        <v>76</v>
      </c>
      <c r="W26" s="8" t="s">
        <v>76</v>
      </c>
      <c r="X26" s="8" t="s">
        <v>76</v>
      </c>
      <c r="Y26" s="8" t="s">
        <v>76</v>
      </c>
      <c r="Z26" s="8"/>
      <c r="AA26" s="8"/>
      <c r="AB26" s="8" t="s">
        <v>76</v>
      </c>
      <c r="AC26" s="8"/>
    </row>
    <row r="27" spans="1:29" ht="30" hidden="1" customHeight="1" thickTop="1" thickBot="1" x14ac:dyDescent="0.35">
      <c r="A27" s="8" t="s">
        <v>70</v>
      </c>
      <c r="B27" s="8"/>
      <c r="C27" s="8" t="s">
        <v>153</v>
      </c>
      <c r="D27" s="8" t="s">
        <v>154</v>
      </c>
      <c r="E27" s="8" t="s">
        <v>155</v>
      </c>
      <c r="F27" s="8" t="s">
        <v>156</v>
      </c>
      <c r="G27" s="8"/>
      <c r="H27" s="8" t="s">
        <v>157</v>
      </c>
      <c r="I27" s="8" t="s">
        <v>74</v>
      </c>
      <c r="J27" s="8" t="s">
        <v>74</v>
      </c>
      <c r="K27" s="8"/>
      <c r="L27" s="8"/>
      <c r="M27" s="8"/>
      <c r="N27" s="18">
        <v>-57532</v>
      </c>
      <c r="O27" s="8" t="s">
        <v>159</v>
      </c>
      <c r="P27" s="8" t="s">
        <v>76</v>
      </c>
      <c r="Q27" s="8" t="s">
        <v>160</v>
      </c>
      <c r="R27" s="8" t="s">
        <v>76</v>
      </c>
      <c r="S27" s="8" t="s">
        <v>76</v>
      </c>
      <c r="T27" s="8" t="s">
        <v>76</v>
      </c>
      <c r="U27" s="8" t="s">
        <v>76</v>
      </c>
      <c r="V27" s="8" t="s">
        <v>76</v>
      </c>
      <c r="W27" s="8" t="s">
        <v>76</v>
      </c>
      <c r="X27" s="8" t="s">
        <v>76</v>
      </c>
      <c r="Y27" s="8" t="s">
        <v>76</v>
      </c>
      <c r="Z27" s="8"/>
      <c r="AA27" s="8"/>
      <c r="AB27" s="8" t="s">
        <v>76</v>
      </c>
      <c r="AC27" s="8"/>
    </row>
    <row r="28" spans="1:29" ht="30" hidden="1" customHeight="1" thickTop="1" thickBot="1" x14ac:dyDescent="0.35">
      <c r="A28" s="8" t="s">
        <v>70</v>
      </c>
      <c r="B28" s="8"/>
      <c r="C28" s="8" t="s">
        <v>161</v>
      </c>
      <c r="D28" s="8" t="s">
        <v>162</v>
      </c>
      <c r="E28" s="8" t="s">
        <v>144</v>
      </c>
      <c r="F28" s="8" t="s">
        <v>163</v>
      </c>
      <c r="G28" s="8"/>
      <c r="H28" s="8" t="s">
        <v>164</v>
      </c>
      <c r="I28" s="8" t="s">
        <v>74</v>
      </c>
      <c r="J28" s="8" t="s">
        <v>74</v>
      </c>
      <c r="K28" s="8"/>
      <c r="L28" s="8"/>
      <c r="M28" s="8"/>
      <c r="N28" s="18">
        <v>-7083</v>
      </c>
      <c r="O28" s="8" t="s">
        <v>166</v>
      </c>
      <c r="P28" s="8" t="s">
        <v>76</v>
      </c>
      <c r="Q28" s="8" t="s">
        <v>167</v>
      </c>
      <c r="R28" s="8" t="s">
        <v>76</v>
      </c>
      <c r="S28" s="8" t="s">
        <v>76</v>
      </c>
      <c r="T28" s="8" t="s">
        <v>76</v>
      </c>
      <c r="U28" s="8" t="s">
        <v>76</v>
      </c>
      <c r="V28" s="8" t="s">
        <v>76</v>
      </c>
      <c r="W28" s="8" t="s">
        <v>76</v>
      </c>
      <c r="X28" s="8" t="s">
        <v>76</v>
      </c>
      <c r="Y28" s="8" t="s">
        <v>76</v>
      </c>
      <c r="Z28" s="8"/>
      <c r="AA28" s="8"/>
      <c r="AB28" s="8" t="s">
        <v>76</v>
      </c>
      <c r="AC28" s="8"/>
    </row>
    <row r="29" spans="1:29" ht="30" hidden="1" customHeight="1" thickTop="1" thickBot="1" x14ac:dyDescent="0.35">
      <c r="A29" s="8" t="s">
        <v>70</v>
      </c>
      <c r="B29" s="8"/>
      <c r="C29" s="8" t="s">
        <v>168</v>
      </c>
      <c r="D29" s="8" t="s">
        <v>169</v>
      </c>
      <c r="E29" s="8" t="s">
        <v>170</v>
      </c>
      <c r="F29" s="8" t="s">
        <v>171</v>
      </c>
      <c r="G29" s="8"/>
      <c r="H29" s="8" t="s">
        <v>172</v>
      </c>
      <c r="I29" s="8" t="s">
        <v>74</v>
      </c>
      <c r="J29" s="8" t="s">
        <v>74</v>
      </c>
      <c r="K29" s="8"/>
      <c r="L29" s="8"/>
      <c r="M29" s="8"/>
      <c r="N29" s="18">
        <v>-16320</v>
      </c>
      <c r="O29" s="8" t="s">
        <v>174</v>
      </c>
      <c r="P29" s="8" t="s">
        <v>76</v>
      </c>
      <c r="Q29" s="8" t="s">
        <v>175</v>
      </c>
      <c r="R29" s="8" t="s">
        <v>76</v>
      </c>
      <c r="S29" s="8" t="s">
        <v>76</v>
      </c>
      <c r="T29" s="8" t="s">
        <v>76</v>
      </c>
      <c r="U29" s="8" t="s">
        <v>76</v>
      </c>
      <c r="V29" s="8" t="s">
        <v>76</v>
      </c>
      <c r="W29" s="8" t="s">
        <v>76</v>
      </c>
      <c r="X29" s="8" t="s">
        <v>76</v>
      </c>
      <c r="Y29" s="8" t="s">
        <v>76</v>
      </c>
      <c r="Z29" s="8"/>
      <c r="AA29" s="8"/>
      <c r="AB29" s="8" t="s">
        <v>76</v>
      </c>
      <c r="AC29" s="8"/>
    </row>
    <row r="30" spans="1:29" ht="30" hidden="1" customHeight="1" thickTop="1" thickBot="1" x14ac:dyDescent="0.35">
      <c r="A30" s="8" t="s">
        <v>70</v>
      </c>
      <c r="B30" s="8"/>
      <c r="C30" s="8" t="s">
        <v>176</v>
      </c>
      <c r="D30" s="8" t="s">
        <v>177</v>
      </c>
      <c r="E30" s="8" t="s">
        <v>178</v>
      </c>
      <c r="F30" s="8" t="s">
        <v>179</v>
      </c>
      <c r="G30" s="8"/>
      <c r="H30" s="8" t="s">
        <v>180</v>
      </c>
      <c r="I30" s="8" t="s">
        <v>74</v>
      </c>
      <c r="J30" s="8" t="s">
        <v>74</v>
      </c>
      <c r="K30" s="8"/>
      <c r="L30" s="8"/>
      <c r="M30" s="8"/>
      <c r="N30" s="18">
        <v>-106845</v>
      </c>
      <c r="O30" s="8" t="s">
        <v>182</v>
      </c>
      <c r="P30" s="8" t="s">
        <v>76</v>
      </c>
      <c r="Q30" s="8" t="s">
        <v>183</v>
      </c>
      <c r="R30" s="8" t="s">
        <v>76</v>
      </c>
      <c r="S30" s="8" t="s">
        <v>76</v>
      </c>
      <c r="T30" s="8" t="s">
        <v>76</v>
      </c>
      <c r="U30" s="8" t="s">
        <v>76</v>
      </c>
      <c r="V30" s="8" t="s">
        <v>76</v>
      </c>
      <c r="W30" s="8" t="s">
        <v>76</v>
      </c>
      <c r="X30" s="8" t="s">
        <v>76</v>
      </c>
      <c r="Y30" s="8" t="s">
        <v>76</v>
      </c>
      <c r="Z30" s="8"/>
      <c r="AA30" s="8"/>
      <c r="AB30" s="8" t="s">
        <v>76</v>
      </c>
      <c r="AC30" s="8"/>
    </row>
    <row r="31" spans="1:29" ht="30" hidden="1" customHeight="1" thickTop="1" thickBot="1" x14ac:dyDescent="0.35">
      <c r="A31" s="8" t="s">
        <v>70</v>
      </c>
      <c r="B31" s="8"/>
      <c r="C31" s="8" t="s">
        <v>184</v>
      </c>
      <c r="D31" s="8" t="s">
        <v>185</v>
      </c>
      <c r="E31" s="8" t="s">
        <v>186</v>
      </c>
      <c r="F31" s="8" t="s">
        <v>187</v>
      </c>
      <c r="G31" s="8"/>
      <c r="H31" s="8" t="s">
        <v>188</v>
      </c>
      <c r="I31" s="8" t="s">
        <v>74</v>
      </c>
      <c r="J31" s="8" t="s">
        <v>74</v>
      </c>
      <c r="K31" s="8"/>
      <c r="L31" s="8"/>
      <c r="M31" s="8"/>
      <c r="N31" s="18">
        <v>-16809</v>
      </c>
      <c r="O31" s="8" t="s">
        <v>190</v>
      </c>
      <c r="P31" s="8" t="s">
        <v>76</v>
      </c>
      <c r="Q31" s="8" t="s">
        <v>191</v>
      </c>
      <c r="R31" s="8" t="s">
        <v>76</v>
      </c>
      <c r="S31" s="8" t="s">
        <v>76</v>
      </c>
      <c r="T31" s="8" t="s">
        <v>76</v>
      </c>
      <c r="U31" s="8" t="s">
        <v>76</v>
      </c>
      <c r="V31" s="8" t="s">
        <v>76</v>
      </c>
      <c r="W31" s="8" t="s">
        <v>76</v>
      </c>
      <c r="X31" s="8" t="s">
        <v>76</v>
      </c>
      <c r="Y31" s="8" t="s">
        <v>76</v>
      </c>
      <c r="Z31" s="8"/>
      <c r="AA31" s="8"/>
      <c r="AB31" s="8" t="s">
        <v>76</v>
      </c>
      <c r="AC31" s="8"/>
    </row>
    <row r="32" spans="1:29" ht="30" hidden="1" customHeight="1" thickTop="1" thickBot="1" x14ac:dyDescent="0.35">
      <c r="A32" s="8" t="s">
        <v>70</v>
      </c>
      <c r="B32" s="8"/>
      <c r="C32" s="8" t="s">
        <v>192</v>
      </c>
      <c r="D32" s="8" t="s">
        <v>193</v>
      </c>
      <c r="E32" s="8" t="s">
        <v>186</v>
      </c>
      <c r="F32" s="8" t="s">
        <v>194</v>
      </c>
      <c r="G32" s="8"/>
      <c r="H32" s="8" t="s">
        <v>195</v>
      </c>
      <c r="I32" s="8" t="s">
        <v>74</v>
      </c>
      <c r="J32" s="8" t="s">
        <v>74</v>
      </c>
      <c r="K32" s="8"/>
      <c r="L32" s="8"/>
      <c r="M32" s="8"/>
      <c r="N32" s="18">
        <v>-14166</v>
      </c>
      <c r="O32" s="8" t="s">
        <v>197</v>
      </c>
      <c r="P32" s="8" t="s">
        <v>76</v>
      </c>
      <c r="Q32" s="8" t="s">
        <v>198</v>
      </c>
      <c r="R32" s="8" t="s">
        <v>76</v>
      </c>
      <c r="S32" s="8" t="s">
        <v>76</v>
      </c>
      <c r="T32" s="8" t="s">
        <v>76</v>
      </c>
      <c r="U32" s="8" t="s">
        <v>76</v>
      </c>
      <c r="V32" s="8" t="s">
        <v>76</v>
      </c>
      <c r="W32" s="8" t="s">
        <v>76</v>
      </c>
      <c r="X32" s="8" t="s">
        <v>76</v>
      </c>
      <c r="Y32" s="8" t="s">
        <v>76</v>
      </c>
      <c r="Z32" s="8"/>
      <c r="AA32" s="8"/>
      <c r="AB32" s="8" t="s">
        <v>76</v>
      </c>
      <c r="AC32" s="8"/>
    </row>
    <row r="33" spans="1:29" ht="30" hidden="1" customHeight="1" thickTop="1" thickBot="1" x14ac:dyDescent="0.35">
      <c r="A33" s="8" t="s">
        <v>70</v>
      </c>
      <c r="B33" s="8"/>
      <c r="C33" s="8" t="s">
        <v>199</v>
      </c>
      <c r="D33" s="8" t="s">
        <v>200</v>
      </c>
      <c r="E33" s="8" t="s">
        <v>73</v>
      </c>
      <c r="F33" s="8" t="s">
        <v>201</v>
      </c>
      <c r="G33" s="8"/>
      <c r="H33" s="8" t="s">
        <v>202</v>
      </c>
      <c r="I33" s="8" t="s">
        <v>74</v>
      </c>
      <c r="J33" s="8" t="s">
        <v>74</v>
      </c>
      <c r="K33" s="8"/>
      <c r="L33" s="8"/>
      <c r="M33" s="8"/>
      <c r="N33" s="18">
        <v>-16320</v>
      </c>
      <c r="O33" s="8" t="s">
        <v>174</v>
      </c>
      <c r="P33" s="8" t="s">
        <v>76</v>
      </c>
      <c r="Q33" s="8" t="s">
        <v>175</v>
      </c>
      <c r="R33" s="8" t="s">
        <v>76</v>
      </c>
      <c r="S33" s="8" t="s">
        <v>76</v>
      </c>
      <c r="T33" s="8" t="s">
        <v>76</v>
      </c>
      <c r="U33" s="8" t="s">
        <v>76</v>
      </c>
      <c r="V33" s="8" t="s">
        <v>76</v>
      </c>
      <c r="W33" s="8" t="s">
        <v>76</v>
      </c>
      <c r="X33" s="8" t="s">
        <v>76</v>
      </c>
      <c r="Y33" s="8" t="s">
        <v>76</v>
      </c>
      <c r="Z33" s="8"/>
      <c r="AA33" s="8"/>
      <c r="AB33" s="8" t="s">
        <v>76</v>
      </c>
      <c r="AC33" s="8"/>
    </row>
    <row r="34" spans="1:29" ht="30" hidden="1" customHeight="1" thickTop="1" thickBot="1" x14ac:dyDescent="0.35">
      <c r="A34" s="8" t="s">
        <v>70</v>
      </c>
      <c r="B34" s="8"/>
      <c r="C34" s="8" t="s">
        <v>203</v>
      </c>
      <c r="D34" s="8" t="s">
        <v>204</v>
      </c>
      <c r="E34" s="8" t="s">
        <v>151</v>
      </c>
      <c r="F34" s="8" t="s">
        <v>201</v>
      </c>
      <c r="G34" s="8"/>
      <c r="H34" s="8" t="s">
        <v>205</v>
      </c>
      <c r="I34" s="8" t="s">
        <v>74</v>
      </c>
      <c r="J34" s="8" t="s">
        <v>74</v>
      </c>
      <c r="K34" s="8"/>
      <c r="L34" s="8"/>
      <c r="M34" s="8"/>
      <c r="N34" s="18">
        <v>-94983</v>
      </c>
      <c r="O34" s="8" t="s">
        <v>207</v>
      </c>
      <c r="P34" s="8" t="s">
        <v>76</v>
      </c>
      <c r="Q34" s="8" t="s">
        <v>208</v>
      </c>
      <c r="R34" s="8" t="s">
        <v>76</v>
      </c>
      <c r="S34" s="8" t="s">
        <v>76</v>
      </c>
      <c r="T34" s="8" t="s">
        <v>76</v>
      </c>
      <c r="U34" s="8" t="s">
        <v>76</v>
      </c>
      <c r="V34" s="8" t="s">
        <v>76</v>
      </c>
      <c r="W34" s="8" t="s">
        <v>76</v>
      </c>
      <c r="X34" s="8" t="s">
        <v>76</v>
      </c>
      <c r="Y34" s="8" t="s">
        <v>76</v>
      </c>
      <c r="Z34" s="8"/>
      <c r="AA34" s="8"/>
      <c r="AB34" s="8" t="s">
        <v>76</v>
      </c>
      <c r="AC34" s="8"/>
    </row>
    <row r="35" spans="1:29" ht="30" hidden="1" customHeight="1" thickTop="1" thickBot="1" x14ac:dyDescent="0.35">
      <c r="A35" s="8" t="s">
        <v>70</v>
      </c>
      <c r="B35" s="8"/>
      <c r="C35" s="8" t="s">
        <v>209</v>
      </c>
      <c r="D35" s="8" t="s">
        <v>210</v>
      </c>
      <c r="E35" s="8" t="s">
        <v>127</v>
      </c>
      <c r="F35" s="8" t="s">
        <v>211</v>
      </c>
      <c r="G35" s="8"/>
      <c r="H35" s="8" t="s">
        <v>212</v>
      </c>
      <c r="I35" s="8" t="s">
        <v>74</v>
      </c>
      <c r="J35" s="8" t="s">
        <v>74</v>
      </c>
      <c r="K35" s="8"/>
      <c r="L35" s="8"/>
      <c r="M35" s="8"/>
      <c r="N35" s="18">
        <v>-31860</v>
      </c>
      <c r="O35" s="8" t="s">
        <v>214</v>
      </c>
      <c r="P35" s="8" t="s">
        <v>76</v>
      </c>
      <c r="Q35" s="8" t="s">
        <v>215</v>
      </c>
      <c r="R35" s="8" t="s">
        <v>76</v>
      </c>
      <c r="S35" s="8" t="s">
        <v>76</v>
      </c>
      <c r="T35" s="8" t="s">
        <v>76</v>
      </c>
      <c r="U35" s="8" t="s">
        <v>76</v>
      </c>
      <c r="V35" s="8" t="s">
        <v>76</v>
      </c>
      <c r="W35" s="8" t="s">
        <v>76</v>
      </c>
      <c r="X35" s="8" t="s">
        <v>76</v>
      </c>
      <c r="Y35" s="8" t="s">
        <v>76</v>
      </c>
      <c r="Z35" s="8"/>
      <c r="AA35" s="8"/>
      <c r="AB35" s="8" t="s">
        <v>76</v>
      </c>
      <c r="AC35" s="8"/>
    </row>
    <row r="36" spans="1:29" ht="30" hidden="1" customHeight="1" thickTop="1" thickBot="1" x14ac:dyDescent="0.35">
      <c r="A36" s="8" t="s">
        <v>70</v>
      </c>
      <c r="B36" s="8"/>
      <c r="C36" s="8" t="s">
        <v>216</v>
      </c>
      <c r="D36" s="8" t="s">
        <v>217</v>
      </c>
      <c r="E36" s="8" t="s">
        <v>151</v>
      </c>
      <c r="F36" s="8" t="s">
        <v>218</v>
      </c>
      <c r="G36" s="8"/>
      <c r="H36" s="8" t="s">
        <v>219</v>
      </c>
      <c r="I36" s="8" t="s">
        <v>74</v>
      </c>
      <c r="J36" s="8" t="s">
        <v>74</v>
      </c>
      <c r="K36" s="8"/>
      <c r="L36" s="8"/>
      <c r="M36" s="8"/>
      <c r="N36" s="18">
        <v>-7083</v>
      </c>
      <c r="O36" s="8" t="s">
        <v>166</v>
      </c>
      <c r="P36" s="8" t="s">
        <v>76</v>
      </c>
      <c r="Q36" s="8" t="s">
        <v>167</v>
      </c>
      <c r="R36" s="8" t="s">
        <v>76</v>
      </c>
      <c r="S36" s="8" t="s">
        <v>76</v>
      </c>
      <c r="T36" s="8" t="s">
        <v>76</v>
      </c>
      <c r="U36" s="8" t="s">
        <v>76</v>
      </c>
      <c r="V36" s="8" t="s">
        <v>76</v>
      </c>
      <c r="W36" s="8" t="s">
        <v>76</v>
      </c>
      <c r="X36" s="8" t="s">
        <v>76</v>
      </c>
      <c r="Y36" s="8" t="s">
        <v>76</v>
      </c>
      <c r="Z36" s="8"/>
      <c r="AA36" s="8"/>
      <c r="AB36" s="8" t="s">
        <v>76</v>
      </c>
      <c r="AC36" s="8"/>
    </row>
    <row r="37" spans="1:29" ht="30" hidden="1" customHeight="1" thickTop="1" thickBot="1" x14ac:dyDescent="0.35">
      <c r="A37" s="8" t="s">
        <v>70</v>
      </c>
      <c r="B37" s="8"/>
      <c r="C37" s="8" t="s">
        <v>220</v>
      </c>
      <c r="D37" s="8" t="s">
        <v>221</v>
      </c>
      <c r="E37" s="8" t="s">
        <v>151</v>
      </c>
      <c r="F37" s="8" t="s">
        <v>222</v>
      </c>
      <c r="G37" s="8"/>
      <c r="H37" s="8" t="s">
        <v>223</v>
      </c>
      <c r="I37" s="8" t="s">
        <v>74</v>
      </c>
      <c r="J37" s="8" t="s">
        <v>74</v>
      </c>
      <c r="K37" s="8"/>
      <c r="L37" s="8"/>
      <c r="M37" s="8"/>
      <c r="N37" s="18">
        <v>-172715</v>
      </c>
      <c r="O37" s="8" t="s">
        <v>225</v>
      </c>
      <c r="P37" s="8" t="s">
        <v>76</v>
      </c>
      <c r="Q37" s="8" t="s">
        <v>226</v>
      </c>
      <c r="R37" s="8" t="s">
        <v>76</v>
      </c>
      <c r="S37" s="8" t="s">
        <v>76</v>
      </c>
      <c r="T37" s="8" t="s">
        <v>76</v>
      </c>
      <c r="U37" s="8" t="s">
        <v>76</v>
      </c>
      <c r="V37" s="8" t="s">
        <v>76</v>
      </c>
      <c r="W37" s="8" t="s">
        <v>76</v>
      </c>
      <c r="X37" s="8" t="s">
        <v>76</v>
      </c>
      <c r="Y37" s="8" t="s">
        <v>76</v>
      </c>
      <c r="Z37" s="8"/>
      <c r="AA37" s="8"/>
      <c r="AB37" s="8" t="s">
        <v>76</v>
      </c>
      <c r="AC37" s="8"/>
    </row>
    <row r="38" spans="1:29" ht="30" hidden="1" customHeight="1" thickTop="1" thickBot="1" x14ac:dyDescent="0.35">
      <c r="A38" s="8" t="s">
        <v>70</v>
      </c>
      <c r="B38" s="8"/>
      <c r="C38" s="8" t="s">
        <v>227</v>
      </c>
      <c r="D38" s="8" t="s">
        <v>228</v>
      </c>
      <c r="E38" s="8" t="s">
        <v>229</v>
      </c>
      <c r="F38" s="8" t="s">
        <v>230</v>
      </c>
      <c r="G38" s="8"/>
      <c r="H38" s="8" t="s">
        <v>231</v>
      </c>
      <c r="I38" s="8" t="s">
        <v>74</v>
      </c>
      <c r="J38" s="8" t="s">
        <v>74</v>
      </c>
      <c r="K38" s="8"/>
      <c r="L38" s="8"/>
      <c r="M38" s="8"/>
      <c r="N38" s="18">
        <v>-8219</v>
      </c>
      <c r="O38" s="8" t="s">
        <v>233</v>
      </c>
      <c r="P38" s="8" t="s">
        <v>76</v>
      </c>
      <c r="Q38" s="8" t="s">
        <v>234</v>
      </c>
      <c r="R38" s="8" t="s">
        <v>76</v>
      </c>
      <c r="S38" s="8" t="s">
        <v>76</v>
      </c>
      <c r="T38" s="8" t="s">
        <v>76</v>
      </c>
      <c r="U38" s="8" t="s">
        <v>76</v>
      </c>
      <c r="V38" s="8" t="s">
        <v>76</v>
      </c>
      <c r="W38" s="8" t="s">
        <v>76</v>
      </c>
      <c r="X38" s="8" t="s">
        <v>76</v>
      </c>
      <c r="Y38" s="8" t="s">
        <v>76</v>
      </c>
      <c r="Z38" s="8"/>
      <c r="AA38" s="8"/>
      <c r="AB38" s="8" t="s">
        <v>76</v>
      </c>
      <c r="AC38" s="8"/>
    </row>
    <row r="39" spans="1:29" ht="30" hidden="1" customHeight="1" thickTop="1" thickBot="1" x14ac:dyDescent="0.35">
      <c r="A39" s="8" t="s">
        <v>70</v>
      </c>
      <c r="B39" s="8"/>
      <c r="C39" s="8" t="s">
        <v>235</v>
      </c>
      <c r="D39" s="8" t="s">
        <v>236</v>
      </c>
      <c r="E39" s="8" t="s">
        <v>237</v>
      </c>
      <c r="F39" s="8" t="s">
        <v>238</v>
      </c>
      <c r="G39" s="8"/>
      <c r="H39" s="8" t="s">
        <v>239</v>
      </c>
      <c r="I39" s="8" t="s">
        <v>74</v>
      </c>
      <c r="J39" s="8" t="s">
        <v>74</v>
      </c>
      <c r="K39" s="8"/>
      <c r="L39" s="8"/>
      <c r="M39" s="8"/>
      <c r="N39" s="18">
        <v>-8604</v>
      </c>
      <c r="O39" s="8" t="s">
        <v>241</v>
      </c>
      <c r="P39" s="8" t="s">
        <v>76</v>
      </c>
      <c r="Q39" s="8" t="s">
        <v>242</v>
      </c>
      <c r="R39" s="8" t="s">
        <v>76</v>
      </c>
      <c r="S39" s="8" t="s">
        <v>76</v>
      </c>
      <c r="T39" s="8" t="s">
        <v>76</v>
      </c>
      <c r="U39" s="8" t="s">
        <v>76</v>
      </c>
      <c r="V39" s="8" t="s">
        <v>76</v>
      </c>
      <c r="W39" s="8" t="s">
        <v>76</v>
      </c>
      <c r="X39" s="8" t="s">
        <v>76</v>
      </c>
      <c r="Y39" s="8" t="s">
        <v>76</v>
      </c>
      <c r="Z39" s="8"/>
      <c r="AA39" s="8"/>
      <c r="AB39" s="8" t="s">
        <v>76</v>
      </c>
      <c r="AC39" s="8"/>
    </row>
    <row r="40" spans="1:29" ht="30" hidden="1" customHeight="1" thickTop="1" thickBot="1" x14ac:dyDescent="0.35">
      <c r="A40" s="8" t="s">
        <v>70</v>
      </c>
      <c r="B40" s="8"/>
      <c r="C40" s="8" t="s">
        <v>243</v>
      </c>
      <c r="D40" s="8" t="s">
        <v>244</v>
      </c>
      <c r="E40" s="8" t="s">
        <v>151</v>
      </c>
      <c r="F40" s="8" t="s">
        <v>245</v>
      </c>
      <c r="G40" s="8"/>
      <c r="H40" s="8" t="s">
        <v>246</v>
      </c>
      <c r="I40" s="8" t="s">
        <v>74</v>
      </c>
      <c r="J40" s="8" t="s">
        <v>74</v>
      </c>
      <c r="K40" s="8"/>
      <c r="L40" s="8"/>
      <c r="M40" s="8"/>
      <c r="N40" s="18">
        <v>-32875</v>
      </c>
      <c r="O40" s="8" t="s">
        <v>248</v>
      </c>
      <c r="P40" s="8" t="s">
        <v>76</v>
      </c>
      <c r="Q40" s="8" t="s">
        <v>249</v>
      </c>
      <c r="R40" s="8" t="s">
        <v>76</v>
      </c>
      <c r="S40" s="8" t="s">
        <v>76</v>
      </c>
      <c r="T40" s="8" t="s">
        <v>76</v>
      </c>
      <c r="U40" s="8" t="s">
        <v>76</v>
      </c>
      <c r="V40" s="8" t="s">
        <v>76</v>
      </c>
      <c r="W40" s="8" t="s">
        <v>76</v>
      </c>
      <c r="X40" s="8" t="s">
        <v>76</v>
      </c>
      <c r="Y40" s="8" t="s">
        <v>76</v>
      </c>
      <c r="Z40" s="8"/>
      <c r="AA40" s="8"/>
      <c r="AB40" s="8" t="s">
        <v>76</v>
      </c>
      <c r="AC40" s="8"/>
    </row>
    <row r="41" spans="1:29" ht="30" hidden="1" customHeight="1" thickTop="1" thickBot="1" x14ac:dyDescent="0.35">
      <c r="A41" s="8" t="s">
        <v>70</v>
      </c>
      <c r="B41" s="8"/>
      <c r="C41" s="8" t="s">
        <v>250</v>
      </c>
      <c r="D41" s="8" t="s">
        <v>251</v>
      </c>
      <c r="E41" s="8" t="s">
        <v>155</v>
      </c>
      <c r="F41" s="8"/>
      <c r="G41" s="8"/>
      <c r="H41" s="8"/>
      <c r="I41" s="8" t="s">
        <v>74</v>
      </c>
      <c r="J41" s="8" t="s">
        <v>74</v>
      </c>
      <c r="K41" s="8"/>
      <c r="L41" s="8"/>
      <c r="M41" s="8"/>
      <c r="N41" s="18">
        <v>-120460769</v>
      </c>
      <c r="O41" s="8" t="s">
        <v>253</v>
      </c>
      <c r="P41" s="8" t="s">
        <v>76</v>
      </c>
      <c r="Q41" s="8" t="s">
        <v>254</v>
      </c>
      <c r="R41" s="8" t="s">
        <v>76</v>
      </c>
      <c r="S41" s="8" t="s">
        <v>76</v>
      </c>
      <c r="T41" s="8" t="s">
        <v>255</v>
      </c>
      <c r="U41" s="8" t="s">
        <v>76</v>
      </c>
      <c r="V41" s="8" t="s">
        <v>76</v>
      </c>
      <c r="W41" s="8" t="s">
        <v>76</v>
      </c>
      <c r="X41" s="8" t="s">
        <v>76</v>
      </c>
      <c r="Y41" s="8" t="s">
        <v>76</v>
      </c>
      <c r="Z41" s="8"/>
      <c r="AA41" s="8"/>
      <c r="AB41" s="8" t="s">
        <v>76</v>
      </c>
      <c r="AC41" s="8"/>
    </row>
    <row r="42" spans="1:29" ht="30" hidden="1" customHeight="1" thickTop="1" thickBot="1" x14ac:dyDescent="0.35">
      <c r="A42" s="8" t="s">
        <v>70</v>
      </c>
      <c r="B42" s="8"/>
      <c r="C42" s="8" t="s">
        <v>256</v>
      </c>
      <c r="D42" s="8" t="s">
        <v>257</v>
      </c>
      <c r="E42" s="8" t="s">
        <v>155</v>
      </c>
      <c r="F42" s="8"/>
      <c r="G42" s="8"/>
      <c r="H42" s="8"/>
      <c r="I42" s="8" t="s">
        <v>74</v>
      </c>
      <c r="J42" s="8" t="s">
        <v>74</v>
      </c>
      <c r="K42" s="8"/>
      <c r="L42" s="8"/>
      <c r="M42" s="8"/>
      <c r="N42" s="18">
        <v>-6023039</v>
      </c>
      <c r="O42" s="8" t="s">
        <v>259</v>
      </c>
      <c r="P42" s="8" t="s">
        <v>76</v>
      </c>
      <c r="Q42" s="8" t="s">
        <v>260</v>
      </c>
      <c r="R42" s="8" t="s">
        <v>76</v>
      </c>
      <c r="S42" s="8" t="s">
        <v>76</v>
      </c>
      <c r="T42" s="8" t="s">
        <v>261</v>
      </c>
      <c r="U42" s="8" t="s">
        <v>76</v>
      </c>
      <c r="V42" s="8" t="s">
        <v>76</v>
      </c>
      <c r="W42" s="8" t="s">
        <v>76</v>
      </c>
      <c r="X42" s="8" t="s">
        <v>76</v>
      </c>
      <c r="Y42" s="8" t="s">
        <v>76</v>
      </c>
      <c r="Z42" s="8"/>
      <c r="AA42" s="8"/>
      <c r="AB42" s="8" t="s">
        <v>76</v>
      </c>
      <c r="AC42" s="8"/>
    </row>
    <row r="43" spans="1:29" ht="30" hidden="1" customHeight="1" thickTop="1" thickBot="1" x14ac:dyDescent="0.35">
      <c r="A43" s="8" t="s">
        <v>70</v>
      </c>
      <c r="B43" s="8"/>
      <c r="C43" s="8" t="s">
        <v>262</v>
      </c>
      <c r="D43" s="8" t="s">
        <v>263</v>
      </c>
      <c r="E43" s="8" t="s">
        <v>155</v>
      </c>
      <c r="F43" s="8"/>
      <c r="G43" s="8"/>
      <c r="H43" s="8"/>
      <c r="I43" s="8" t="s">
        <v>74</v>
      </c>
      <c r="J43" s="8" t="s">
        <v>74</v>
      </c>
      <c r="K43" s="8"/>
      <c r="L43" s="8"/>
      <c r="M43" s="8"/>
      <c r="N43" s="18">
        <v>-605778094</v>
      </c>
      <c r="O43" s="8" t="s">
        <v>265</v>
      </c>
      <c r="P43" s="8" t="s">
        <v>76</v>
      </c>
      <c r="Q43" s="8" t="s">
        <v>266</v>
      </c>
      <c r="R43" s="8" t="s">
        <v>76</v>
      </c>
      <c r="S43" s="8" t="s">
        <v>76</v>
      </c>
      <c r="T43" s="8" t="s">
        <v>267</v>
      </c>
      <c r="U43" s="8" t="s">
        <v>76</v>
      </c>
      <c r="V43" s="8" t="s">
        <v>76</v>
      </c>
      <c r="W43" s="8" t="s">
        <v>76</v>
      </c>
      <c r="X43" s="8" t="s">
        <v>76</v>
      </c>
      <c r="Y43" s="8" t="s">
        <v>76</v>
      </c>
      <c r="Z43" s="8"/>
      <c r="AA43" s="8"/>
      <c r="AB43" s="8" t="s">
        <v>76</v>
      </c>
      <c r="AC43" s="8"/>
    </row>
    <row r="44" spans="1:29" ht="30" hidden="1" customHeight="1" thickTop="1" thickBot="1" x14ac:dyDescent="0.35">
      <c r="A44" s="8" t="s">
        <v>70</v>
      </c>
      <c r="B44" s="8"/>
      <c r="C44" s="8" t="s">
        <v>268</v>
      </c>
      <c r="D44" s="8" t="s">
        <v>269</v>
      </c>
      <c r="E44" s="8" t="s">
        <v>155</v>
      </c>
      <c r="F44" s="8"/>
      <c r="G44" s="8"/>
      <c r="H44" s="8"/>
      <c r="I44" s="8" t="s">
        <v>74</v>
      </c>
      <c r="J44" s="8" t="s">
        <v>74</v>
      </c>
      <c r="K44" s="8"/>
      <c r="L44" s="8"/>
      <c r="M44" s="8"/>
      <c r="N44" s="18">
        <v>-25325171</v>
      </c>
      <c r="O44" s="8" t="s">
        <v>271</v>
      </c>
      <c r="P44" s="8" t="s">
        <v>76</v>
      </c>
      <c r="Q44" s="8" t="s">
        <v>272</v>
      </c>
      <c r="R44" s="8" t="s">
        <v>76</v>
      </c>
      <c r="S44" s="8" t="s">
        <v>76</v>
      </c>
      <c r="T44" s="8" t="s">
        <v>273</v>
      </c>
      <c r="U44" s="8" t="s">
        <v>76</v>
      </c>
      <c r="V44" s="8" t="s">
        <v>76</v>
      </c>
      <c r="W44" s="8" t="s">
        <v>76</v>
      </c>
      <c r="X44" s="8" t="s">
        <v>76</v>
      </c>
      <c r="Y44" s="8" t="s">
        <v>76</v>
      </c>
      <c r="Z44" s="8"/>
      <c r="AA44" s="8"/>
      <c r="AB44" s="8" t="s">
        <v>76</v>
      </c>
      <c r="AC44" s="8"/>
    </row>
    <row r="45" spans="1:29" ht="30" hidden="1" customHeight="1" thickTop="1" thickBot="1" x14ac:dyDescent="0.35">
      <c r="A45" s="8" t="s">
        <v>70</v>
      </c>
      <c r="B45" s="8"/>
      <c r="C45" s="8" t="s">
        <v>274</v>
      </c>
      <c r="D45" s="8" t="s">
        <v>275</v>
      </c>
      <c r="E45" s="8" t="s">
        <v>155</v>
      </c>
      <c r="F45" s="8"/>
      <c r="G45" s="8"/>
      <c r="H45" s="8"/>
      <c r="I45" s="8" t="s">
        <v>74</v>
      </c>
      <c r="J45" s="8" t="s">
        <v>74</v>
      </c>
      <c r="K45" s="8"/>
      <c r="L45" s="8"/>
      <c r="M45" s="8"/>
      <c r="N45" s="18">
        <v>-92049770</v>
      </c>
      <c r="O45" s="8" t="s">
        <v>277</v>
      </c>
      <c r="P45" s="8" t="s">
        <v>76</v>
      </c>
      <c r="Q45" s="8" t="s">
        <v>278</v>
      </c>
      <c r="R45" s="8" t="s">
        <v>76</v>
      </c>
      <c r="S45" s="8" t="s">
        <v>76</v>
      </c>
      <c r="T45" s="8" t="s">
        <v>279</v>
      </c>
      <c r="U45" s="8" t="s">
        <v>76</v>
      </c>
      <c r="V45" s="8" t="s">
        <v>76</v>
      </c>
      <c r="W45" s="8" t="s">
        <v>76</v>
      </c>
      <c r="X45" s="8" t="s">
        <v>76</v>
      </c>
      <c r="Y45" s="8" t="s">
        <v>76</v>
      </c>
      <c r="Z45" s="8"/>
      <c r="AA45" s="8"/>
      <c r="AB45" s="8" t="s">
        <v>76</v>
      </c>
      <c r="AC45" s="8"/>
    </row>
    <row r="46" spans="1:29" ht="30" hidden="1" customHeight="1" thickTop="1" thickBot="1" x14ac:dyDescent="0.35">
      <c r="A46" s="8" t="s">
        <v>70</v>
      </c>
      <c r="B46" s="8"/>
      <c r="C46" s="8" t="s">
        <v>280</v>
      </c>
      <c r="D46" s="8" t="s">
        <v>281</v>
      </c>
      <c r="E46" s="8" t="s">
        <v>155</v>
      </c>
      <c r="F46" s="8"/>
      <c r="G46" s="8"/>
      <c r="H46" s="8"/>
      <c r="I46" s="8" t="s">
        <v>74</v>
      </c>
      <c r="J46" s="8" t="s">
        <v>74</v>
      </c>
      <c r="K46" s="8"/>
      <c r="L46" s="8"/>
      <c r="M46" s="8"/>
      <c r="N46" s="18">
        <v>-4791377</v>
      </c>
      <c r="O46" s="8" t="s">
        <v>283</v>
      </c>
      <c r="P46" s="8" t="s">
        <v>76</v>
      </c>
      <c r="Q46" s="8" t="s">
        <v>284</v>
      </c>
      <c r="R46" s="8" t="s">
        <v>76</v>
      </c>
      <c r="S46" s="8" t="s">
        <v>76</v>
      </c>
      <c r="T46" s="8" t="s">
        <v>285</v>
      </c>
      <c r="U46" s="8" t="s">
        <v>76</v>
      </c>
      <c r="V46" s="8" t="s">
        <v>76</v>
      </c>
      <c r="W46" s="8" t="s">
        <v>76</v>
      </c>
      <c r="X46" s="8" t="s">
        <v>76</v>
      </c>
      <c r="Y46" s="8" t="s">
        <v>76</v>
      </c>
      <c r="Z46" s="8"/>
      <c r="AA46" s="8"/>
      <c r="AB46" s="8" t="s">
        <v>76</v>
      </c>
      <c r="AC46" s="8"/>
    </row>
    <row r="47" spans="1:29" ht="30" hidden="1" customHeight="1" thickTop="1" thickBot="1" x14ac:dyDescent="0.35">
      <c r="A47" s="8" t="s">
        <v>70</v>
      </c>
      <c r="B47" s="8"/>
      <c r="C47" s="8" t="s">
        <v>286</v>
      </c>
      <c r="D47" s="8" t="s">
        <v>287</v>
      </c>
      <c r="E47" s="8" t="s">
        <v>155</v>
      </c>
      <c r="F47" s="8"/>
      <c r="G47" s="8"/>
      <c r="H47" s="8"/>
      <c r="I47" s="8" t="s">
        <v>74</v>
      </c>
      <c r="J47" s="8" t="s">
        <v>74</v>
      </c>
      <c r="K47" s="8"/>
      <c r="L47" s="8"/>
      <c r="M47" s="8"/>
      <c r="N47" s="18">
        <v>-8566930</v>
      </c>
      <c r="O47" s="8" t="s">
        <v>289</v>
      </c>
      <c r="P47" s="8" t="s">
        <v>76</v>
      </c>
      <c r="Q47" s="8" t="s">
        <v>290</v>
      </c>
      <c r="R47" s="8" t="s">
        <v>76</v>
      </c>
      <c r="S47" s="8" t="s">
        <v>76</v>
      </c>
      <c r="T47" s="8" t="s">
        <v>291</v>
      </c>
      <c r="U47" s="8" t="s">
        <v>76</v>
      </c>
      <c r="V47" s="8" t="s">
        <v>76</v>
      </c>
      <c r="W47" s="8" t="s">
        <v>76</v>
      </c>
      <c r="X47" s="8" t="s">
        <v>76</v>
      </c>
      <c r="Y47" s="8" t="s">
        <v>76</v>
      </c>
      <c r="Z47" s="8"/>
      <c r="AA47" s="8"/>
      <c r="AB47" s="8" t="s">
        <v>76</v>
      </c>
      <c r="AC47" s="8"/>
    </row>
    <row r="48" spans="1:29" ht="30" hidden="1" customHeight="1" thickTop="1" thickBot="1" x14ac:dyDescent="0.35">
      <c r="A48" s="8" t="s">
        <v>70</v>
      </c>
      <c r="B48" s="8"/>
      <c r="C48" s="8" t="s">
        <v>292</v>
      </c>
      <c r="D48" s="8" t="s">
        <v>293</v>
      </c>
      <c r="E48" s="8" t="s">
        <v>155</v>
      </c>
      <c r="F48" s="8"/>
      <c r="G48" s="8"/>
      <c r="H48" s="8"/>
      <c r="I48" s="8" t="s">
        <v>74</v>
      </c>
      <c r="J48" s="8" t="s">
        <v>74</v>
      </c>
      <c r="K48" s="8"/>
      <c r="L48" s="8"/>
      <c r="M48" s="8"/>
      <c r="N48" s="18">
        <v>-2225177</v>
      </c>
      <c r="O48" s="8" t="s">
        <v>295</v>
      </c>
      <c r="P48" s="8" t="s">
        <v>76</v>
      </c>
      <c r="Q48" s="8" t="s">
        <v>296</v>
      </c>
      <c r="R48" s="8" t="s">
        <v>76</v>
      </c>
      <c r="S48" s="8" t="s">
        <v>76</v>
      </c>
      <c r="T48" s="8" t="s">
        <v>297</v>
      </c>
      <c r="U48" s="8" t="s">
        <v>76</v>
      </c>
      <c r="V48" s="8" t="s">
        <v>76</v>
      </c>
      <c r="W48" s="8" t="s">
        <v>76</v>
      </c>
      <c r="X48" s="8" t="s">
        <v>76</v>
      </c>
      <c r="Y48" s="8" t="s">
        <v>76</v>
      </c>
      <c r="Z48" s="8"/>
      <c r="AA48" s="8"/>
      <c r="AB48" s="8" t="s">
        <v>76</v>
      </c>
      <c r="AC48" s="8"/>
    </row>
    <row r="49" spans="1:29" ht="30" hidden="1" customHeight="1" thickTop="1" thickBot="1" x14ac:dyDescent="0.35">
      <c r="A49" s="8" t="s">
        <v>70</v>
      </c>
      <c r="B49" s="8"/>
      <c r="C49" s="8" t="s">
        <v>298</v>
      </c>
      <c r="D49" s="8" t="s">
        <v>299</v>
      </c>
      <c r="E49" s="8" t="s">
        <v>155</v>
      </c>
      <c r="F49" s="8"/>
      <c r="G49" s="8"/>
      <c r="H49" s="8"/>
      <c r="I49" s="8" t="s">
        <v>74</v>
      </c>
      <c r="J49" s="8" t="s">
        <v>74</v>
      </c>
      <c r="K49" s="8"/>
      <c r="L49" s="8"/>
      <c r="M49" s="8"/>
      <c r="N49" s="18">
        <v>-20759225</v>
      </c>
      <c r="O49" s="8" t="s">
        <v>301</v>
      </c>
      <c r="P49" s="8" t="s">
        <v>76</v>
      </c>
      <c r="Q49" s="8" t="s">
        <v>302</v>
      </c>
      <c r="R49" s="8" t="s">
        <v>76</v>
      </c>
      <c r="S49" s="8" t="s">
        <v>76</v>
      </c>
      <c r="T49" s="8" t="s">
        <v>303</v>
      </c>
      <c r="U49" s="8" t="s">
        <v>76</v>
      </c>
      <c r="V49" s="8" t="s">
        <v>76</v>
      </c>
      <c r="W49" s="8" t="s">
        <v>76</v>
      </c>
      <c r="X49" s="8" t="s">
        <v>76</v>
      </c>
      <c r="Y49" s="8" t="s">
        <v>76</v>
      </c>
      <c r="Z49" s="8"/>
      <c r="AA49" s="8"/>
      <c r="AB49" s="8" t="s">
        <v>76</v>
      </c>
      <c r="AC49" s="8"/>
    </row>
    <row r="50" spans="1:29" ht="30" hidden="1" customHeight="1" thickTop="1" thickBot="1" x14ac:dyDescent="0.35">
      <c r="A50" s="8" t="s">
        <v>70</v>
      </c>
      <c r="B50" s="8"/>
      <c r="C50" s="8" t="s">
        <v>304</v>
      </c>
      <c r="D50" s="8" t="s">
        <v>305</v>
      </c>
      <c r="E50" s="8" t="s">
        <v>73</v>
      </c>
      <c r="F50" s="8"/>
      <c r="G50" s="8"/>
      <c r="H50" s="8"/>
      <c r="I50" s="8" t="s">
        <v>74</v>
      </c>
      <c r="J50" s="8" t="s">
        <v>74</v>
      </c>
      <c r="K50" s="8"/>
      <c r="L50" s="8"/>
      <c r="M50" s="8"/>
      <c r="N50" s="18">
        <v>-1166796</v>
      </c>
      <c r="O50" s="8" t="s">
        <v>307</v>
      </c>
      <c r="P50" s="8" t="s">
        <v>76</v>
      </c>
      <c r="Q50" s="8" t="s">
        <v>308</v>
      </c>
      <c r="R50" s="8" t="s">
        <v>76</v>
      </c>
      <c r="S50" s="8" t="s">
        <v>76</v>
      </c>
      <c r="T50" s="8" t="s">
        <v>309</v>
      </c>
      <c r="U50" s="8" t="s">
        <v>76</v>
      </c>
      <c r="V50" s="8" t="s">
        <v>76</v>
      </c>
      <c r="W50" s="8" t="s">
        <v>76</v>
      </c>
      <c r="X50" s="8" t="s">
        <v>76</v>
      </c>
      <c r="Y50" s="8" t="s">
        <v>76</v>
      </c>
      <c r="Z50" s="8"/>
      <c r="AA50" s="8"/>
      <c r="AB50" s="8" t="s">
        <v>76</v>
      </c>
      <c r="AC50" s="8"/>
    </row>
    <row r="51" spans="1:29" ht="30" hidden="1" customHeight="1" thickTop="1" thickBot="1" x14ac:dyDescent="0.35">
      <c r="A51" s="8" t="s">
        <v>70</v>
      </c>
      <c r="B51" s="8"/>
      <c r="C51" s="8" t="s">
        <v>310</v>
      </c>
      <c r="D51" s="8" t="s">
        <v>311</v>
      </c>
      <c r="E51" s="8" t="s">
        <v>73</v>
      </c>
      <c r="F51" s="8"/>
      <c r="G51" s="8"/>
      <c r="H51" s="8"/>
      <c r="I51" s="8" t="s">
        <v>74</v>
      </c>
      <c r="J51" s="8" t="s">
        <v>74</v>
      </c>
      <c r="K51" s="8"/>
      <c r="L51" s="8"/>
      <c r="M51" s="8"/>
      <c r="N51" s="18">
        <v>-1166796</v>
      </c>
      <c r="O51" s="8" t="s">
        <v>307</v>
      </c>
      <c r="P51" s="8" t="s">
        <v>76</v>
      </c>
      <c r="Q51" s="8" t="s">
        <v>308</v>
      </c>
      <c r="R51" s="8" t="s">
        <v>76</v>
      </c>
      <c r="S51" s="8" t="s">
        <v>76</v>
      </c>
      <c r="T51" s="8" t="s">
        <v>309</v>
      </c>
      <c r="U51" s="8" t="s">
        <v>76</v>
      </c>
      <c r="V51" s="8" t="s">
        <v>76</v>
      </c>
      <c r="W51" s="8" t="s">
        <v>76</v>
      </c>
      <c r="X51" s="8" t="s">
        <v>76</v>
      </c>
      <c r="Y51" s="8" t="s">
        <v>76</v>
      </c>
      <c r="Z51" s="8"/>
      <c r="AA51" s="8"/>
      <c r="AB51" s="8" t="s">
        <v>76</v>
      </c>
      <c r="AC51" s="8"/>
    </row>
    <row r="52" spans="1:29" ht="30" hidden="1" customHeight="1" thickTop="1" thickBot="1" x14ac:dyDescent="0.35">
      <c r="A52" s="8" t="s">
        <v>70</v>
      </c>
      <c r="B52" s="8"/>
      <c r="C52" s="8" t="s">
        <v>312</v>
      </c>
      <c r="D52" s="8" t="s">
        <v>313</v>
      </c>
      <c r="E52" s="8" t="s">
        <v>73</v>
      </c>
      <c r="F52" s="8"/>
      <c r="G52" s="8"/>
      <c r="H52" s="8"/>
      <c r="I52" s="8" t="s">
        <v>74</v>
      </c>
      <c r="J52" s="8" t="s">
        <v>74</v>
      </c>
      <c r="K52" s="8"/>
      <c r="L52" s="8"/>
      <c r="M52" s="8"/>
      <c r="N52" s="18">
        <v>-3043171</v>
      </c>
      <c r="O52" s="8" t="s">
        <v>315</v>
      </c>
      <c r="P52" s="8" t="s">
        <v>76</v>
      </c>
      <c r="Q52" s="8" t="s">
        <v>316</v>
      </c>
      <c r="R52" s="8" t="s">
        <v>76</v>
      </c>
      <c r="S52" s="8" t="s">
        <v>76</v>
      </c>
      <c r="T52" s="8" t="s">
        <v>317</v>
      </c>
      <c r="U52" s="8" t="s">
        <v>76</v>
      </c>
      <c r="V52" s="8" t="s">
        <v>76</v>
      </c>
      <c r="W52" s="8" t="s">
        <v>76</v>
      </c>
      <c r="X52" s="8" t="s">
        <v>76</v>
      </c>
      <c r="Y52" s="8" t="s">
        <v>76</v>
      </c>
      <c r="Z52" s="8"/>
      <c r="AA52" s="8"/>
      <c r="AB52" s="8" t="s">
        <v>76</v>
      </c>
      <c r="AC52" s="8"/>
    </row>
    <row r="53" spans="1:29" ht="30" hidden="1" customHeight="1" thickTop="1" thickBot="1" x14ac:dyDescent="0.35">
      <c r="A53" s="8" t="s">
        <v>70</v>
      </c>
      <c r="B53" s="8"/>
      <c r="C53" s="8" t="s">
        <v>318</v>
      </c>
      <c r="D53" s="8" t="s">
        <v>319</v>
      </c>
      <c r="E53" s="8" t="s">
        <v>73</v>
      </c>
      <c r="F53" s="8"/>
      <c r="G53" s="8"/>
      <c r="H53" s="8"/>
      <c r="I53" s="8" t="s">
        <v>74</v>
      </c>
      <c r="J53" s="8" t="s">
        <v>74</v>
      </c>
      <c r="K53" s="8"/>
      <c r="L53" s="8"/>
      <c r="M53" s="8"/>
      <c r="N53" s="18">
        <v>-11536134</v>
      </c>
      <c r="O53" s="8" t="s">
        <v>321</v>
      </c>
      <c r="P53" s="8" t="s">
        <v>76</v>
      </c>
      <c r="Q53" s="8" t="s">
        <v>322</v>
      </c>
      <c r="R53" s="8" t="s">
        <v>76</v>
      </c>
      <c r="S53" s="8" t="s">
        <v>76</v>
      </c>
      <c r="T53" s="8" t="s">
        <v>323</v>
      </c>
      <c r="U53" s="8" t="s">
        <v>76</v>
      </c>
      <c r="V53" s="8" t="s">
        <v>76</v>
      </c>
      <c r="W53" s="8" t="s">
        <v>76</v>
      </c>
      <c r="X53" s="8" t="s">
        <v>76</v>
      </c>
      <c r="Y53" s="8" t="s">
        <v>76</v>
      </c>
      <c r="Z53" s="8"/>
      <c r="AA53" s="8"/>
      <c r="AB53" s="8" t="s">
        <v>76</v>
      </c>
      <c r="AC53" s="8"/>
    </row>
    <row r="54" spans="1:29" ht="30" hidden="1" customHeight="1" thickTop="1" thickBot="1" x14ac:dyDescent="0.35">
      <c r="A54" s="8" t="s">
        <v>70</v>
      </c>
      <c r="B54" s="8"/>
      <c r="C54" s="8" t="s">
        <v>324</v>
      </c>
      <c r="D54" s="8" t="s">
        <v>325</v>
      </c>
      <c r="E54" s="8" t="s">
        <v>73</v>
      </c>
      <c r="F54" s="8"/>
      <c r="G54" s="8"/>
      <c r="H54" s="8"/>
      <c r="I54" s="8" t="s">
        <v>74</v>
      </c>
      <c r="J54" s="8" t="s">
        <v>74</v>
      </c>
      <c r="K54" s="8"/>
      <c r="L54" s="8"/>
      <c r="M54" s="8"/>
      <c r="N54" s="18">
        <v>-18361681</v>
      </c>
      <c r="O54" s="8" t="s">
        <v>327</v>
      </c>
      <c r="P54" s="8" t="s">
        <v>76</v>
      </c>
      <c r="Q54" s="8" t="s">
        <v>328</v>
      </c>
      <c r="R54" s="8" t="s">
        <v>76</v>
      </c>
      <c r="S54" s="8" t="s">
        <v>76</v>
      </c>
      <c r="T54" s="8" t="s">
        <v>329</v>
      </c>
      <c r="U54" s="8" t="s">
        <v>76</v>
      </c>
      <c r="V54" s="8" t="s">
        <v>76</v>
      </c>
      <c r="W54" s="8" t="s">
        <v>76</v>
      </c>
      <c r="X54" s="8" t="s">
        <v>76</v>
      </c>
      <c r="Y54" s="8" t="s">
        <v>76</v>
      </c>
      <c r="Z54" s="8"/>
      <c r="AA54" s="8"/>
      <c r="AB54" s="8" t="s">
        <v>76</v>
      </c>
      <c r="AC54" s="8"/>
    </row>
    <row r="55" spans="1:29" ht="30" hidden="1" customHeight="1" thickTop="1" thickBot="1" x14ac:dyDescent="0.35">
      <c r="A55" s="8" t="s">
        <v>70</v>
      </c>
      <c r="B55" s="8"/>
      <c r="C55" s="8" t="s">
        <v>330</v>
      </c>
      <c r="D55" s="8" t="s">
        <v>331</v>
      </c>
      <c r="E55" s="8" t="s">
        <v>73</v>
      </c>
      <c r="F55" s="8"/>
      <c r="G55" s="8"/>
      <c r="H55" s="8"/>
      <c r="I55" s="8" t="s">
        <v>74</v>
      </c>
      <c r="J55" s="8" t="s">
        <v>74</v>
      </c>
      <c r="K55" s="8"/>
      <c r="L55" s="8"/>
      <c r="M55" s="8"/>
      <c r="N55" s="18">
        <v>-19461753</v>
      </c>
      <c r="O55" s="8" t="s">
        <v>333</v>
      </c>
      <c r="P55" s="8" t="s">
        <v>76</v>
      </c>
      <c r="Q55" s="8" t="s">
        <v>334</v>
      </c>
      <c r="R55" s="8" t="s">
        <v>76</v>
      </c>
      <c r="S55" s="8" t="s">
        <v>76</v>
      </c>
      <c r="T55" s="8" t="s">
        <v>335</v>
      </c>
      <c r="U55" s="8" t="s">
        <v>76</v>
      </c>
      <c r="V55" s="8" t="s">
        <v>76</v>
      </c>
      <c r="W55" s="8" t="s">
        <v>76</v>
      </c>
      <c r="X55" s="8" t="s">
        <v>76</v>
      </c>
      <c r="Y55" s="8" t="s">
        <v>76</v>
      </c>
      <c r="Z55" s="8"/>
      <c r="AA55" s="8"/>
      <c r="AB55" s="8" t="s">
        <v>76</v>
      </c>
      <c r="AC55" s="8"/>
    </row>
    <row r="56" spans="1:29" ht="30" hidden="1" customHeight="1" thickTop="1" thickBot="1" x14ac:dyDescent="0.35">
      <c r="A56" s="8" t="s">
        <v>70</v>
      </c>
      <c r="B56" s="8"/>
      <c r="C56" s="8" t="s">
        <v>336</v>
      </c>
      <c r="D56" s="8" t="s">
        <v>337</v>
      </c>
      <c r="E56" s="8" t="s">
        <v>73</v>
      </c>
      <c r="F56" s="8"/>
      <c r="G56" s="8"/>
      <c r="H56" s="8"/>
      <c r="I56" s="8" t="s">
        <v>74</v>
      </c>
      <c r="J56" s="8" t="s">
        <v>74</v>
      </c>
      <c r="K56" s="8"/>
      <c r="L56" s="8"/>
      <c r="M56" s="8"/>
      <c r="N56" s="18">
        <v>-23110830</v>
      </c>
      <c r="O56" s="8" t="s">
        <v>339</v>
      </c>
      <c r="P56" s="8" t="s">
        <v>76</v>
      </c>
      <c r="Q56" s="8" t="s">
        <v>340</v>
      </c>
      <c r="R56" s="8" t="s">
        <v>76</v>
      </c>
      <c r="S56" s="8" t="s">
        <v>76</v>
      </c>
      <c r="T56" s="8" t="s">
        <v>341</v>
      </c>
      <c r="U56" s="8" t="s">
        <v>76</v>
      </c>
      <c r="V56" s="8" t="s">
        <v>76</v>
      </c>
      <c r="W56" s="8" t="s">
        <v>76</v>
      </c>
      <c r="X56" s="8" t="s">
        <v>76</v>
      </c>
      <c r="Y56" s="8" t="s">
        <v>76</v>
      </c>
      <c r="Z56" s="8"/>
      <c r="AA56" s="8"/>
      <c r="AB56" s="8" t="s">
        <v>76</v>
      </c>
      <c r="AC56" s="8"/>
    </row>
    <row r="57" spans="1:29" ht="30" hidden="1" customHeight="1" thickTop="1" thickBot="1" x14ac:dyDescent="0.35">
      <c r="A57" s="8" t="s">
        <v>70</v>
      </c>
      <c r="B57" s="8"/>
      <c r="C57" s="8" t="s">
        <v>342</v>
      </c>
      <c r="D57" s="8" t="s">
        <v>343</v>
      </c>
      <c r="E57" s="8" t="s">
        <v>73</v>
      </c>
      <c r="F57" s="8"/>
      <c r="G57" s="8"/>
      <c r="H57" s="8"/>
      <c r="I57" s="8" t="s">
        <v>74</v>
      </c>
      <c r="J57" s="8" t="s">
        <v>74</v>
      </c>
      <c r="K57" s="8"/>
      <c r="L57" s="8"/>
      <c r="M57" s="8"/>
      <c r="N57" s="18">
        <v>-49258559</v>
      </c>
      <c r="O57" s="8" t="s">
        <v>345</v>
      </c>
      <c r="P57" s="8" t="s">
        <v>76</v>
      </c>
      <c r="Q57" s="8" t="s">
        <v>346</v>
      </c>
      <c r="R57" s="8" t="s">
        <v>76</v>
      </c>
      <c r="S57" s="8" t="s">
        <v>76</v>
      </c>
      <c r="T57" s="8" t="s">
        <v>347</v>
      </c>
      <c r="U57" s="8" t="s">
        <v>76</v>
      </c>
      <c r="V57" s="8" t="s">
        <v>76</v>
      </c>
      <c r="W57" s="8" t="s">
        <v>76</v>
      </c>
      <c r="X57" s="8" t="s">
        <v>76</v>
      </c>
      <c r="Y57" s="8" t="s">
        <v>76</v>
      </c>
      <c r="Z57" s="8"/>
      <c r="AA57" s="8"/>
      <c r="AB57" s="8" t="s">
        <v>76</v>
      </c>
      <c r="AC57" s="8"/>
    </row>
    <row r="58" spans="1:29" ht="30" hidden="1" customHeight="1" thickTop="1" thickBot="1" x14ac:dyDescent="0.35">
      <c r="A58" s="8" t="s">
        <v>70</v>
      </c>
      <c r="B58" s="8"/>
      <c r="C58" s="8" t="s">
        <v>348</v>
      </c>
      <c r="D58" s="8" t="s">
        <v>349</v>
      </c>
      <c r="E58" s="8" t="s">
        <v>73</v>
      </c>
      <c r="F58" s="8"/>
      <c r="G58" s="8"/>
      <c r="H58" s="8"/>
      <c r="I58" s="8" t="s">
        <v>74</v>
      </c>
      <c r="J58" s="8" t="s">
        <v>74</v>
      </c>
      <c r="K58" s="8"/>
      <c r="L58" s="8"/>
      <c r="M58" s="8"/>
      <c r="N58" s="18">
        <v>-56955208</v>
      </c>
      <c r="O58" s="8" t="s">
        <v>351</v>
      </c>
      <c r="P58" s="8" t="s">
        <v>76</v>
      </c>
      <c r="Q58" s="8" t="s">
        <v>352</v>
      </c>
      <c r="R58" s="8" t="s">
        <v>76</v>
      </c>
      <c r="S58" s="8" t="s">
        <v>76</v>
      </c>
      <c r="T58" s="8" t="s">
        <v>353</v>
      </c>
      <c r="U58" s="8" t="s">
        <v>76</v>
      </c>
      <c r="V58" s="8" t="s">
        <v>76</v>
      </c>
      <c r="W58" s="8" t="s">
        <v>76</v>
      </c>
      <c r="X58" s="8" t="s">
        <v>76</v>
      </c>
      <c r="Y58" s="8" t="s">
        <v>76</v>
      </c>
      <c r="Z58" s="8"/>
      <c r="AA58" s="8"/>
      <c r="AB58" s="8" t="s">
        <v>76</v>
      </c>
      <c r="AC58" s="8"/>
    </row>
    <row r="59" spans="1:29" ht="30" hidden="1" customHeight="1" thickTop="1" thickBot="1" x14ac:dyDescent="0.35">
      <c r="A59" s="8" t="s">
        <v>70</v>
      </c>
      <c r="B59" s="8"/>
      <c r="C59" s="8" t="s">
        <v>354</v>
      </c>
      <c r="D59" s="8" t="s">
        <v>355</v>
      </c>
      <c r="E59" s="8" t="s">
        <v>127</v>
      </c>
      <c r="F59" s="8"/>
      <c r="G59" s="8"/>
      <c r="H59" s="8"/>
      <c r="I59" s="8" t="s">
        <v>74</v>
      </c>
      <c r="J59" s="8" t="s">
        <v>74</v>
      </c>
      <c r="K59" s="8"/>
      <c r="L59" s="8"/>
      <c r="M59" s="8"/>
      <c r="N59" s="18">
        <v>-17029033</v>
      </c>
      <c r="O59" s="8" t="s">
        <v>357</v>
      </c>
      <c r="P59" s="8" t="s">
        <v>76</v>
      </c>
      <c r="Q59" s="8" t="s">
        <v>358</v>
      </c>
      <c r="R59" s="8" t="s">
        <v>76</v>
      </c>
      <c r="S59" s="8" t="s">
        <v>76</v>
      </c>
      <c r="T59" s="8" t="s">
        <v>359</v>
      </c>
      <c r="U59" s="8" t="s">
        <v>76</v>
      </c>
      <c r="V59" s="8" t="s">
        <v>76</v>
      </c>
      <c r="W59" s="8" t="s">
        <v>76</v>
      </c>
      <c r="X59" s="8" t="s">
        <v>76</v>
      </c>
      <c r="Y59" s="8" t="s">
        <v>76</v>
      </c>
      <c r="Z59" s="8"/>
      <c r="AA59" s="8"/>
      <c r="AB59" s="8" t="s">
        <v>76</v>
      </c>
      <c r="AC59" s="8"/>
    </row>
    <row r="60" spans="1:29" ht="30" hidden="1" customHeight="1" thickTop="1" thickBot="1" x14ac:dyDescent="0.35">
      <c r="A60" s="8" t="s">
        <v>70</v>
      </c>
      <c r="B60" s="8"/>
      <c r="C60" s="8" t="s">
        <v>360</v>
      </c>
      <c r="D60" s="8" t="s">
        <v>361</v>
      </c>
      <c r="E60" s="8" t="s">
        <v>127</v>
      </c>
      <c r="F60" s="8"/>
      <c r="G60" s="8"/>
      <c r="H60" s="8"/>
      <c r="I60" s="8" t="s">
        <v>74</v>
      </c>
      <c r="J60" s="8" t="s">
        <v>74</v>
      </c>
      <c r="K60" s="8"/>
      <c r="L60" s="8"/>
      <c r="M60" s="8"/>
      <c r="N60" s="18">
        <v>-68243628</v>
      </c>
      <c r="O60" s="8" t="s">
        <v>363</v>
      </c>
      <c r="P60" s="8" t="s">
        <v>76</v>
      </c>
      <c r="Q60" s="8" t="s">
        <v>364</v>
      </c>
      <c r="R60" s="8" t="s">
        <v>76</v>
      </c>
      <c r="S60" s="8" t="s">
        <v>76</v>
      </c>
      <c r="T60" s="8" t="s">
        <v>365</v>
      </c>
      <c r="U60" s="8" t="s">
        <v>76</v>
      </c>
      <c r="V60" s="8" t="s">
        <v>76</v>
      </c>
      <c r="W60" s="8" t="s">
        <v>76</v>
      </c>
      <c r="X60" s="8" t="s">
        <v>76</v>
      </c>
      <c r="Y60" s="8" t="s">
        <v>76</v>
      </c>
      <c r="Z60" s="8"/>
      <c r="AA60" s="8"/>
      <c r="AB60" s="8" t="s">
        <v>76</v>
      </c>
      <c r="AC60" s="8"/>
    </row>
    <row r="61" spans="1:29" ht="30" hidden="1" customHeight="1" thickTop="1" thickBot="1" x14ac:dyDescent="0.35">
      <c r="A61" s="8" t="s">
        <v>70</v>
      </c>
      <c r="B61" s="8"/>
      <c r="C61" s="8" t="s">
        <v>366</v>
      </c>
      <c r="D61" s="8" t="s">
        <v>367</v>
      </c>
      <c r="E61" s="8" t="s">
        <v>368</v>
      </c>
      <c r="F61" s="8" t="s">
        <v>201</v>
      </c>
      <c r="G61" s="8"/>
      <c r="H61" s="8" t="s">
        <v>369</v>
      </c>
      <c r="I61" s="8" t="s">
        <v>74</v>
      </c>
      <c r="J61" s="8" t="s">
        <v>74</v>
      </c>
      <c r="K61" s="8"/>
      <c r="L61" s="8"/>
      <c r="M61" s="8"/>
      <c r="N61" s="18" t="s">
        <v>370</v>
      </c>
      <c r="O61" s="8" t="s">
        <v>371</v>
      </c>
      <c r="P61" s="8" t="s">
        <v>76</v>
      </c>
      <c r="Q61" s="8" t="s">
        <v>372</v>
      </c>
      <c r="R61" s="8" t="s">
        <v>76</v>
      </c>
      <c r="S61" s="8" t="s">
        <v>76</v>
      </c>
      <c r="T61" s="8" t="s">
        <v>76</v>
      </c>
      <c r="U61" s="8" t="s">
        <v>76</v>
      </c>
      <c r="V61" s="8" t="s">
        <v>76</v>
      </c>
      <c r="W61" s="8" t="s">
        <v>76</v>
      </c>
      <c r="X61" s="8" t="s">
        <v>76</v>
      </c>
      <c r="Y61" s="8" t="s">
        <v>76</v>
      </c>
      <c r="Z61" s="8"/>
      <c r="AA61" s="8"/>
      <c r="AB61" s="8" t="s">
        <v>76</v>
      </c>
      <c r="AC61" s="8"/>
    </row>
    <row r="62" spans="1:29" ht="30" customHeight="1" thickTop="1" thickBot="1" x14ac:dyDescent="0.35">
      <c r="A62" s="8" t="s">
        <v>373</v>
      </c>
      <c r="B62" s="8"/>
      <c r="C62" s="8" t="s">
        <v>374</v>
      </c>
      <c r="D62" s="8" t="s">
        <v>724</v>
      </c>
      <c r="E62" s="8" t="s">
        <v>368</v>
      </c>
      <c r="F62" s="8" t="s">
        <v>201</v>
      </c>
      <c r="G62" s="8"/>
      <c r="H62" s="8" t="s">
        <v>369</v>
      </c>
      <c r="I62" s="8" t="s">
        <v>74</v>
      </c>
      <c r="J62" s="8" t="s">
        <v>74</v>
      </c>
      <c r="K62" s="8"/>
      <c r="L62" s="18">
        <f>M62-N62</f>
        <v>0</v>
      </c>
      <c r="M62" s="21">
        <f>VLOOKUP(D62,[1]CARTERA!$F:$K,6,0)</f>
        <v>3884074</v>
      </c>
      <c r="N62" s="21">
        <v>3884074</v>
      </c>
      <c r="O62" s="8" t="s">
        <v>377</v>
      </c>
      <c r="P62" s="8" t="s">
        <v>76</v>
      </c>
      <c r="Q62" s="8" t="s">
        <v>378</v>
      </c>
      <c r="R62" s="8" t="s">
        <v>76</v>
      </c>
      <c r="S62" s="8" t="s">
        <v>76</v>
      </c>
      <c r="T62" s="8" t="s">
        <v>76</v>
      </c>
      <c r="U62" s="8" t="s">
        <v>76</v>
      </c>
      <c r="V62" s="8" t="s">
        <v>76</v>
      </c>
      <c r="W62" s="8" t="s">
        <v>76</v>
      </c>
      <c r="X62" s="8" t="s">
        <v>76</v>
      </c>
      <c r="Y62" s="8" t="s">
        <v>76</v>
      </c>
      <c r="Z62" s="8"/>
      <c r="AA62" s="8"/>
      <c r="AB62" s="8" t="s">
        <v>76</v>
      </c>
      <c r="AC62" s="8"/>
    </row>
    <row r="63" spans="1:29" ht="30" hidden="1" customHeight="1" thickTop="1" thickBot="1" x14ac:dyDescent="0.35">
      <c r="A63" s="8" t="s">
        <v>70</v>
      </c>
      <c r="B63" s="8"/>
      <c r="C63" s="8" t="s">
        <v>379</v>
      </c>
      <c r="D63" s="8" t="s">
        <v>380</v>
      </c>
      <c r="E63" s="8" t="s">
        <v>368</v>
      </c>
      <c r="F63" s="8" t="s">
        <v>201</v>
      </c>
      <c r="G63" s="8"/>
      <c r="H63" s="8" t="s">
        <v>381</v>
      </c>
      <c r="I63" s="8" t="s">
        <v>74</v>
      </c>
      <c r="J63" s="8" t="s">
        <v>74</v>
      </c>
      <c r="K63" s="8"/>
      <c r="L63" s="8"/>
      <c r="M63" s="8"/>
      <c r="N63" s="18">
        <v>-3352475</v>
      </c>
      <c r="O63" s="8" t="s">
        <v>383</v>
      </c>
      <c r="P63" s="8" t="s">
        <v>76</v>
      </c>
      <c r="Q63" s="8" t="s">
        <v>384</v>
      </c>
      <c r="R63" s="8" t="s">
        <v>76</v>
      </c>
      <c r="S63" s="8" t="s">
        <v>76</v>
      </c>
      <c r="T63" s="8" t="s">
        <v>76</v>
      </c>
      <c r="U63" s="8" t="s">
        <v>76</v>
      </c>
      <c r="V63" s="8" t="s">
        <v>76</v>
      </c>
      <c r="W63" s="8" t="s">
        <v>76</v>
      </c>
      <c r="X63" s="8" t="s">
        <v>76</v>
      </c>
      <c r="Y63" s="8" t="s">
        <v>76</v>
      </c>
      <c r="Z63" s="8"/>
      <c r="AA63" s="8"/>
      <c r="AB63" s="8" t="s">
        <v>76</v>
      </c>
      <c r="AC63" s="8"/>
    </row>
    <row r="64" spans="1:29" ht="30" customHeight="1" thickTop="1" thickBot="1" x14ac:dyDescent="0.35">
      <c r="A64" s="8" t="s">
        <v>373</v>
      </c>
      <c r="B64" s="8"/>
      <c r="C64" s="8" t="s">
        <v>385</v>
      </c>
      <c r="D64" s="8" t="s">
        <v>725</v>
      </c>
      <c r="E64" s="8" t="s">
        <v>368</v>
      </c>
      <c r="F64" s="8" t="s">
        <v>201</v>
      </c>
      <c r="G64" s="8"/>
      <c r="H64" s="8" t="s">
        <v>381</v>
      </c>
      <c r="I64" s="8" t="s">
        <v>74</v>
      </c>
      <c r="J64" s="8" t="s">
        <v>74</v>
      </c>
      <c r="K64" s="8"/>
      <c r="L64" s="18">
        <f>M64-N64</f>
        <v>1.0799999982118607</v>
      </c>
      <c r="M64" s="21">
        <f>VLOOKUP(D64,[1]CARTERA!$F:$K,6,0)</f>
        <v>79579683.079999998</v>
      </c>
      <c r="N64" s="21">
        <v>79579682</v>
      </c>
      <c r="O64" s="8" t="s">
        <v>388</v>
      </c>
      <c r="P64" s="8" t="s">
        <v>76</v>
      </c>
      <c r="Q64" s="8" t="s">
        <v>389</v>
      </c>
      <c r="R64" s="8" t="s">
        <v>76</v>
      </c>
      <c r="S64" s="8" t="s">
        <v>76</v>
      </c>
      <c r="T64" s="8" t="s">
        <v>76</v>
      </c>
      <c r="U64" s="8" t="s">
        <v>76</v>
      </c>
      <c r="V64" s="8" t="s">
        <v>76</v>
      </c>
      <c r="W64" s="8" t="s">
        <v>76</v>
      </c>
      <c r="X64" s="8" t="s">
        <v>76</v>
      </c>
      <c r="Y64" s="8" t="s">
        <v>76</v>
      </c>
      <c r="Z64" s="8"/>
      <c r="AA64" s="8"/>
      <c r="AB64" s="8" t="s">
        <v>76</v>
      </c>
      <c r="AC64" s="8"/>
    </row>
    <row r="65" spans="1:29" ht="30" hidden="1" customHeight="1" thickTop="1" thickBot="1" x14ac:dyDescent="0.35">
      <c r="A65" s="8" t="s">
        <v>70</v>
      </c>
      <c r="B65" s="8"/>
      <c r="C65" s="8" t="s">
        <v>390</v>
      </c>
      <c r="D65" s="8" t="s">
        <v>391</v>
      </c>
      <c r="E65" s="8" t="s">
        <v>368</v>
      </c>
      <c r="F65" s="8" t="s">
        <v>230</v>
      </c>
      <c r="G65" s="8"/>
      <c r="H65" s="8" t="s">
        <v>392</v>
      </c>
      <c r="I65" s="8" t="s">
        <v>74</v>
      </c>
      <c r="J65" s="8" t="s">
        <v>74</v>
      </c>
      <c r="K65" s="8"/>
      <c r="L65" s="8"/>
      <c r="M65" s="8"/>
      <c r="N65" s="18" t="s">
        <v>393</v>
      </c>
      <c r="O65" s="8" t="s">
        <v>394</v>
      </c>
      <c r="P65" s="8" t="s">
        <v>76</v>
      </c>
      <c r="Q65" s="8" t="s">
        <v>395</v>
      </c>
      <c r="R65" s="8" t="s">
        <v>76</v>
      </c>
      <c r="S65" s="8" t="s">
        <v>76</v>
      </c>
      <c r="T65" s="8" t="s">
        <v>76</v>
      </c>
      <c r="U65" s="8" t="s">
        <v>76</v>
      </c>
      <c r="V65" s="8" t="s">
        <v>76</v>
      </c>
      <c r="W65" s="8" t="s">
        <v>76</v>
      </c>
      <c r="X65" s="8" t="s">
        <v>76</v>
      </c>
      <c r="Y65" s="8" t="s">
        <v>76</v>
      </c>
      <c r="Z65" s="8"/>
      <c r="AA65" s="8"/>
      <c r="AB65" s="8" t="s">
        <v>76</v>
      </c>
      <c r="AC65" s="8"/>
    </row>
    <row r="66" spans="1:29" ht="30" customHeight="1" thickTop="1" thickBot="1" x14ac:dyDescent="0.35">
      <c r="A66" s="8" t="s">
        <v>373</v>
      </c>
      <c r="B66" s="8"/>
      <c r="C66" s="8" t="s">
        <v>396</v>
      </c>
      <c r="D66" s="8" t="s">
        <v>726</v>
      </c>
      <c r="E66" s="8" t="s">
        <v>368</v>
      </c>
      <c r="F66" s="8" t="s">
        <v>230</v>
      </c>
      <c r="G66" s="8"/>
      <c r="H66" s="8" t="s">
        <v>392</v>
      </c>
      <c r="I66" s="8" t="s">
        <v>74</v>
      </c>
      <c r="J66" s="8" t="s">
        <v>74</v>
      </c>
      <c r="K66" s="8"/>
      <c r="L66" s="18">
        <f>M66-N66</f>
        <v>0.59999999962747097</v>
      </c>
      <c r="M66" s="21">
        <f>VLOOKUP(D66,[1]CARTERA!$F:$K,6,0)</f>
        <v>5751231.5999999996</v>
      </c>
      <c r="N66" s="21">
        <v>5751231</v>
      </c>
      <c r="O66" s="8" t="s">
        <v>399</v>
      </c>
      <c r="P66" s="8" t="s">
        <v>76</v>
      </c>
      <c r="Q66" s="8" t="s">
        <v>400</v>
      </c>
      <c r="R66" s="8" t="s">
        <v>76</v>
      </c>
      <c r="S66" s="8" t="s">
        <v>76</v>
      </c>
      <c r="T66" s="8" t="s">
        <v>76</v>
      </c>
      <c r="U66" s="8" t="s">
        <v>76</v>
      </c>
      <c r="V66" s="8" t="s">
        <v>76</v>
      </c>
      <c r="W66" s="8" t="s">
        <v>76</v>
      </c>
      <c r="X66" s="8" t="s">
        <v>76</v>
      </c>
      <c r="Y66" s="8" t="s">
        <v>76</v>
      </c>
      <c r="Z66" s="8"/>
      <c r="AA66" s="8"/>
      <c r="AB66" s="8" t="s">
        <v>76</v>
      </c>
      <c r="AC66" s="8"/>
    </row>
    <row r="67" spans="1:29" ht="30" hidden="1" customHeight="1" thickTop="1" thickBot="1" x14ac:dyDescent="0.35">
      <c r="A67" s="8" t="s">
        <v>70</v>
      </c>
      <c r="B67" s="8"/>
      <c r="C67" s="8" t="s">
        <v>401</v>
      </c>
      <c r="D67" s="8" t="s">
        <v>402</v>
      </c>
      <c r="E67" s="8" t="s">
        <v>368</v>
      </c>
      <c r="F67" s="8" t="s">
        <v>230</v>
      </c>
      <c r="G67" s="8"/>
      <c r="H67" s="8" t="s">
        <v>403</v>
      </c>
      <c r="I67" s="8" t="s">
        <v>74</v>
      </c>
      <c r="J67" s="8" t="s">
        <v>74</v>
      </c>
      <c r="K67" s="8"/>
      <c r="L67" s="8"/>
      <c r="M67" s="8"/>
      <c r="N67" s="18">
        <v>-2411214</v>
      </c>
      <c r="O67" s="8" t="s">
        <v>405</v>
      </c>
      <c r="P67" s="8" t="s">
        <v>76</v>
      </c>
      <c r="Q67" s="8" t="s">
        <v>406</v>
      </c>
      <c r="R67" s="8" t="s">
        <v>76</v>
      </c>
      <c r="S67" s="8" t="s">
        <v>76</v>
      </c>
      <c r="T67" s="8" t="s">
        <v>76</v>
      </c>
      <c r="U67" s="8" t="s">
        <v>76</v>
      </c>
      <c r="V67" s="8" t="s">
        <v>76</v>
      </c>
      <c r="W67" s="8" t="s">
        <v>76</v>
      </c>
      <c r="X67" s="8" t="s">
        <v>76</v>
      </c>
      <c r="Y67" s="8" t="s">
        <v>76</v>
      </c>
      <c r="Z67" s="8"/>
      <c r="AA67" s="8"/>
      <c r="AB67" s="8" t="s">
        <v>76</v>
      </c>
      <c r="AC67" s="8"/>
    </row>
    <row r="68" spans="1:29" ht="30" customHeight="1" thickTop="1" thickBot="1" x14ac:dyDescent="0.35">
      <c r="A68" s="8" t="s">
        <v>373</v>
      </c>
      <c r="B68" s="8"/>
      <c r="C68" s="8" t="s">
        <v>407</v>
      </c>
      <c r="D68" s="8" t="s">
        <v>727</v>
      </c>
      <c r="E68" s="8" t="s">
        <v>368</v>
      </c>
      <c r="F68" s="8" t="s">
        <v>230</v>
      </c>
      <c r="G68" s="8"/>
      <c r="H68" s="8" t="s">
        <v>403</v>
      </c>
      <c r="I68" s="8" t="s">
        <v>74</v>
      </c>
      <c r="J68" s="8" t="s">
        <v>74</v>
      </c>
      <c r="K68" s="8"/>
      <c r="L68" s="18">
        <f t="shared" ref="L68:L71" si="0">M68-N68</f>
        <v>3.880000002682209</v>
      </c>
      <c r="M68" s="21">
        <f>VLOOKUP(D68,[1]CARTERA!$F:$K,6,0)</f>
        <v>40580737.880000003</v>
      </c>
      <c r="N68" s="21">
        <v>40580734</v>
      </c>
      <c r="O68" s="8" t="s">
        <v>410</v>
      </c>
      <c r="P68" s="8" t="s">
        <v>76</v>
      </c>
      <c r="Q68" s="8" t="s">
        <v>411</v>
      </c>
      <c r="R68" s="8" t="s">
        <v>76</v>
      </c>
      <c r="S68" s="8" t="s">
        <v>76</v>
      </c>
      <c r="T68" s="8" t="s">
        <v>76</v>
      </c>
      <c r="U68" s="8" t="s">
        <v>76</v>
      </c>
      <c r="V68" s="8" t="s">
        <v>76</v>
      </c>
      <c r="W68" s="8" t="s">
        <v>76</v>
      </c>
      <c r="X68" s="8" t="s">
        <v>76</v>
      </c>
      <c r="Y68" s="8" t="s">
        <v>76</v>
      </c>
      <c r="Z68" s="8"/>
      <c r="AA68" s="8"/>
      <c r="AB68" s="8" t="s">
        <v>76</v>
      </c>
      <c r="AC68" s="8"/>
    </row>
    <row r="69" spans="1:29" ht="30" customHeight="1" thickTop="1" thickBot="1" x14ac:dyDescent="0.35">
      <c r="A69" s="8" t="s">
        <v>373</v>
      </c>
      <c r="B69" s="8"/>
      <c r="C69" s="8" t="s">
        <v>412</v>
      </c>
      <c r="D69" s="8" t="s">
        <v>697</v>
      </c>
      <c r="E69" s="8" t="s">
        <v>414</v>
      </c>
      <c r="F69" s="8" t="s">
        <v>201</v>
      </c>
      <c r="G69" s="8"/>
      <c r="H69" s="8" t="s">
        <v>415</v>
      </c>
      <c r="I69" s="8" t="s">
        <v>74</v>
      </c>
      <c r="J69" s="8" t="s">
        <v>74</v>
      </c>
      <c r="K69" s="8"/>
      <c r="L69" s="18">
        <f t="shared" si="0"/>
        <v>0</v>
      </c>
      <c r="M69" s="21">
        <f>VLOOKUP(D69,[1]CARTERA!$F:$K,6,0)</f>
        <v>19382530</v>
      </c>
      <c r="N69" s="21">
        <v>19382530</v>
      </c>
      <c r="O69" s="8" t="s">
        <v>417</v>
      </c>
      <c r="P69" s="8" t="s">
        <v>76</v>
      </c>
      <c r="Q69" s="8" t="s">
        <v>418</v>
      </c>
      <c r="R69" s="8" t="s">
        <v>76</v>
      </c>
      <c r="S69" s="8" t="s">
        <v>76</v>
      </c>
      <c r="T69" s="8" t="s">
        <v>76</v>
      </c>
      <c r="U69" s="8" t="s">
        <v>76</v>
      </c>
      <c r="V69" s="8" t="s">
        <v>76</v>
      </c>
      <c r="W69" s="8" t="s">
        <v>76</v>
      </c>
      <c r="X69" s="8" t="s">
        <v>76</v>
      </c>
      <c r="Y69" s="8" t="s">
        <v>76</v>
      </c>
      <c r="Z69" s="8"/>
      <c r="AA69" s="8"/>
      <c r="AB69" s="8" t="s">
        <v>76</v>
      </c>
      <c r="AC69" s="8"/>
    </row>
    <row r="70" spans="1:29" ht="30" customHeight="1" thickTop="1" thickBot="1" x14ac:dyDescent="0.35">
      <c r="A70" s="8" t="s">
        <v>373</v>
      </c>
      <c r="B70" s="8"/>
      <c r="C70" s="8" t="s">
        <v>419</v>
      </c>
      <c r="D70" s="8" t="s">
        <v>698</v>
      </c>
      <c r="E70" s="8" t="s">
        <v>414</v>
      </c>
      <c r="F70" s="8" t="s">
        <v>201</v>
      </c>
      <c r="G70" s="8"/>
      <c r="H70" s="8" t="s">
        <v>421</v>
      </c>
      <c r="I70" s="8" t="s">
        <v>74</v>
      </c>
      <c r="J70" s="8" t="s">
        <v>74</v>
      </c>
      <c r="K70" s="8"/>
      <c r="L70" s="18">
        <f t="shared" si="0"/>
        <v>1.8400000035762787</v>
      </c>
      <c r="M70" s="21">
        <f>VLOOKUP(D70,[1]CARTERA!$F:$K,6,0)</f>
        <v>127722352.84</v>
      </c>
      <c r="N70" s="21">
        <v>127722351</v>
      </c>
      <c r="O70" s="8" t="s">
        <v>423</v>
      </c>
      <c r="P70" s="8" t="s">
        <v>76</v>
      </c>
      <c r="Q70" s="8" t="s">
        <v>424</v>
      </c>
      <c r="R70" s="8" t="s">
        <v>76</v>
      </c>
      <c r="S70" s="8" t="s">
        <v>76</v>
      </c>
      <c r="T70" s="8" t="s">
        <v>76</v>
      </c>
      <c r="U70" s="8" t="s">
        <v>76</v>
      </c>
      <c r="V70" s="8" t="s">
        <v>76</v>
      </c>
      <c r="W70" s="8" t="s">
        <v>76</v>
      </c>
      <c r="X70" s="8" t="s">
        <v>76</v>
      </c>
      <c r="Y70" s="8" t="s">
        <v>76</v>
      </c>
      <c r="Z70" s="8"/>
      <c r="AA70" s="8"/>
      <c r="AB70" s="8" t="s">
        <v>76</v>
      </c>
      <c r="AC70" s="8"/>
    </row>
    <row r="71" spans="1:29" ht="30" customHeight="1" thickTop="1" thickBot="1" x14ac:dyDescent="0.35">
      <c r="A71" s="8" t="s">
        <v>373</v>
      </c>
      <c r="B71" s="8"/>
      <c r="C71" s="8" t="s">
        <v>425</v>
      </c>
      <c r="D71" s="8" t="s">
        <v>699</v>
      </c>
      <c r="E71" s="8" t="s">
        <v>414</v>
      </c>
      <c r="F71" s="8" t="s">
        <v>201</v>
      </c>
      <c r="G71" s="8"/>
      <c r="H71" s="8" t="s">
        <v>427</v>
      </c>
      <c r="I71" s="8" t="s">
        <v>74</v>
      </c>
      <c r="J71" s="8" t="s">
        <v>74</v>
      </c>
      <c r="K71" s="8"/>
      <c r="L71" s="18">
        <f t="shared" si="0"/>
        <v>-0.5</v>
      </c>
      <c r="M71" s="21">
        <f>VLOOKUP(D71,[1]CARTERA!$F:$K,6,0)</f>
        <v>169197997.5</v>
      </c>
      <c r="N71" s="21">
        <v>169197998</v>
      </c>
      <c r="O71" s="8" t="s">
        <v>429</v>
      </c>
      <c r="P71" s="8" t="s">
        <v>76</v>
      </c>
      <c r="Q71" s="8" t="s">
        <v>430</v>
      </c>
      <c r="R71" s="8" t="s">
        <v>76</v>
      </c>
      <c r="S71" s="8" t="s">
        <v>76</v>
      </c>
      <c r="T71" s="8" t="s">
        <v>76</v>
      </c>
      <c r="U71" s="8" t="s">
        <v>76</v>
      </c>
      <c r="V71" s="8" t="s">
        <v>76</v>
      </c>
      <c r="W71" s="8" t="s">
        <v>76</v>
      </c>
      <c r="X71" s="8" t="s">
        <v>76</v>
      </c>
      <c r="Y71" s="8" t="s">
        <v>76</v>
      </c>
      <c r="Z71" s="8"/>
      <c r="AA71" s="8"/>
      <c r="AB71" s="8" t="s">
        <v>76</v>
      </c>
      <c r="AC71" s="8"/>
    </row>
    <row r="72" spans="1:29" ht="30" hidden="1" customHeight="1" thickTop="1" thickBot="1" x14ac:dyDescent="0.35">
      <c r="A72" s="8" t="s">
        <v>70</v>
      </c>
      <c r="B72" s="8"/>
      <c r="C72" s="8" t="s">
        <v>431</v>
      </c>
      <c r="D72" s="8" t="s">
        <v>432</v>
      </c>
      <c r="E72" s="8" t="s">
        <v>414</v>
      </c>
      <c r="F72" s="8" t="s">
        <v>201</v>
      </c>
      <c r="G72" s="8"/>
      <c r="H72" s="8" t="s">
        <v>421</v>
      </c>
      <c r="I72" s="8" t="s">
        <v>74</v>
      </c>
      <c r="J72" s="8" t="s">
        <v>74</v>
      </c>
      <c r="K72" s="8"/>
      <c r="L72" s="8"/>
      <c r="M72" s="8"/>
      <c r="N72" s="18">
        <v>-555853</v>
      </c>
      <c r="O72" s="8" t="s">
        <v>434</v>
      </c>
      <c r="P72" s="8" t="s">
        <v>76</v>
      </c>
      <c r="Q72" s="8" t="s">
        <v>435</v>
      </c>
      <c r="R72" s="8" t="s">
        <v>76</v>
      </c>
      <c r="S72" s="8" t="s">
        <v>76</v>
      </c>
      <c r="T72" s="8" t="s">
        <v>76</v>
      </c>
      <c r="U72" s="8" t="s">
        <v>76</v>
      </c>
      <c r="V72" s="8" t="s">
        <v>76</v>
      </c>
      <c r="W72" s="8" t="s">
        <v>76</v>
      </c>
      <c r="X72" s="8" t="s">
        <v>76</v>
      </c>
      <c r="Y72" s="8" t="s">
        <v>76</v>
      </c>
      <c r="Z72" s="8"/>
      <c r="AA72" s="8"/>
      <c r="AB72" s="8" t="s">
        <v>76</v>
      </c>
      <c r="AC72" s="8"/>
    </row>
    <row r="73" spans="1:29" ht="30" customHeight="1" thickTop="1" thickBot="1" x14ac:dyDescent="0.35">
      <c r="A73" s="8" t="s">
        <v>373</v>
      </c>
      <c r="B73" s="8"/>
      <c r="C73" s="8" t="s">
        <v>436</v>
      </c>
      <c r="D73" s="8" t="s">
        <v>728</v>
      </c>
      <c r="E73" s="8" t="s">
        <v>414</v>
      </c>
      <c r="F73" s="8" t="s">
        <v>201</v>
      </c>
      <c r="G73" s="8"/>
      <c r="H73" s="8" t="s">
        <v>421</v>
      </c>
      <c r="I73" s="8" t="s">
        <v>74</v>
      </c>
      <c r="J73" s="8" t="s">
        <v>74</v>
      </c>
      <c r="K73" s="8"/>
      <c r="L73" s="18">
        <f t="shared" ref="L73:L83" si="1">M73-N73</f>
        <v>-2.6399999856948853</v>
      </c>
      <c r="M73" s="21">
        <f>VLOOKUP(D73,[1]CARTERA!$F:$K,6,0)</f>
        <v>466448697.36000001</v>
      </c>
      <c r="N73" s="21">
        <v>466448700</v>
      </c>
      <c r="O73" s="8" t="s">
        <v>439</v>
      </c>
      <c r="P73" s="8" t="s">
        <v>76</v>
      </c>
      <c r="Q73" s="8" t="s">
        <v>440</v>
      </c>
      <c r="R73" s="8" t="s">
        <v>76</v>
      </c>
      <c r="S73" s="8" t="s">
        <v>76</v>
      </c>
      <c r="T73" s="8" t="s">
        <v>76</v>
      </c>
      <c r="U73" s="8" t="s">
        <v>76</v>
      </c>
      <c r="V73" s="8" t="s">
        <v>76</v>
      </c>
      <c r="W73" s="8" t="s">
        <v>76</v>
      </c>
      <c r="X73" s="8" t="s">
        <v>76</v>
      </c>
      <c r="Y73" s="8" t="s">
        <v>76</v>
      </c>
      <c r="Z73" s="8"/>
      <c r="AA73" s="8"/>
      <c r="AB73" s="8" t="s">
        <v>76</v>
      </c>
      <c r="AC73" s="8"/>
    </row>
    <row r="74" spans="1:29" ht="30" customHeight="1" thickTop="1" thickBot="1" x14ac:dyDescent="0.35">
      <c r="A74" s="8" t="s">
        <v>373</v>
      </c>
      <c r="B74" s="8"/>
      <c r="C74" s="8" t="s">
        <v>441</v>
      </c>
      <c r="D74" s="8" t="s">
        <v>700</v>
      </c>
      <c r="E74" s="8" t="s">
        <v>414</v>
      </c>
      <c r="F74" s="8" t="s">
        <v>201</v>
      </c>
      <c r="G74" s="8"/>
      <c r="H74" s="8" t="s">
        <v>443</v>
      </c>
      <c r="I74" s="8" t="s">
        <v>74</v>
      </c>
      <c r="J74" s="8" t="s">
        <v>74</v>
      </c>
      <c r="K74" s="8"/>
      <c r="L74" s="18">
        <f t="shared" si="1"/>
        <v>0</v>
      </c>
      <c r="M74" s="21">
        <f>VLOOKUP(D74,[1]CARTERA!$F:$K,6,0)</f>
        <v>695950</v>
      </c>
      <c r="N74" s="21">
        <v>695950</v>
      </c>
      <c r="O74" s="8" t="s">
        <v>445</v>
      </c>
      <c r="P74" s="8" t="s">
        <v>76</v>
      </c>
      <c r="Q74" s="8" t="s">
        <v>446</v>
      </c>
      <c r="R74" s="8" t="s">
        <v>76</v>
      </c>
      <c r="S74" s="8" t="s">
        <v>76</v>
      </c>
      <c r="T74" s="8" t="s">
        <v>76</v>
      </c>
      <c r="U74" s="8" t="s">
        <v>76</v>
      </c>
      <c r="V74" s="8" t="s">
        <v>76</v>
      </c>
      <c r="W74" s="8" t="s">
        <v>76</v>
      </c>
      <c r="X74" s="8" t="s">
        <v>76</v>
      </c>
      <c r="Y74" s="8" t="s">
        <v>76</v>
      </c>
      <c r="Z74" s="8"/>
      <c r="AA74" s="8"/>
      <c r="AB74" s="8" t="s">
        <v>76</v>
      </c>
      <c r="AC74" s="8"/>
    </row>
    <row r="75" spans="1:29" ht="30" customHeight="1" thickTop="1" thickBot="1" x14ac:dyDescent="0.35">
      <c r="A75" s="8" t="s">
        <v>373</v>
      </c>
      <c r="B75" s="8"/>
      <c r="C75" s="8" t="s">
        <v>447</v>
      </c>
      <c r="D75" s="8" t="s">
        <v>701</v>
      </c>
      <c r="E75" s="8" t="s">
        <v>414</v>
      </c>
      <c r="F75" s="8" t="s">
        <v>201</v>
      </c>
      <c r="G75" s="8"/>
      <c r="H75" s="8" t="s">
        <v>449</v>
      </c>
      <c r="I75" s="8" t="s">
        <v>74</v>
      </c>
      <c r="J75" s="8" t="s">
        <v>74</v>
      </c>
      <c r="K75" s="8"/>
      <c r="L75" s="18">
        <f t="shared" si="1"/>
        <v>0</v>
      </c>
      <c r="M75" s="21">
        <f>VLOOKUP(D75,[1]CARTERA!$F:$K,6,0)</f>
        <v>6450633</v>
      </c>
      <c r="N75" s="21">
        <v>6450633</v>
      </c>
      <c r="O75" s="8" t="s">
        <v>451</v>
      </c>
      <c r="P75" s="8" t="s">
        <v>76</v>
      </c>
      <c r="Q75" s="8" t="s">
        <v>452</v>
      </c>
      <c r="R75" s="8" t="s">
        <v>76</v>
      </c>
      <c r="S75" s="8" t="s">
        <v>76</v>
      </c>
      <c r="T75" s="8" t="s">
        <v>76</v>
      </c>
      <c r="U75" s="8" t="s">
        <v>76</v>
      </c>
      <c r="V75" s="8" t="s">
        <v>76</v>
      </c>
      <c r="W75" s="8" t="s">
        <v>76</v>
      </c>
      <c r="X75" s="8" t="s">
        <v>76</v>
      </c>
      <c r="Y75" s="8" t="s">
        <v>76</v>
      </c>
      <c r="Z75" s="8"/>
      <c r="AA75" s="8"/>
      <c r="AB75" s="8" t="s">
        <v>76</v>
      </c>
      <c r="AC75" s="8"/>
    </row>
    <row r="76" spans="1:29" ht="30" customHeight="1" thickTop="1" thickBot="1" x14ac:dyDescent="0.35">
      <c r="A76" s="8" t="s">
        <v>373</v>
      </c>
      <c r="B76" s="8"/>
      <c r="C76" s="8" t="s">
        <v>453</v>
      </c>
      <c r="D76" s="8" t="s">
        <v>702</v>
      </c>
      <c r="E76" s="8" t="s">
        <v>414</v>
      </c>
      <c r="F76" s="8" t="s">
        <v>230</v>
      </c>
      <c r="G76" s="8"/>
      <c r="H76" s="8" t="s">
        <v>455</v>
      </c>
      <c r="I76" s="8" t="s">
        <v>74</v>
      </c>
      <c r="J76" s="8" t="s">
        <v>74</v>
      </c>
      <c r="K76" s="8"/>
      <c r="L76" s="18">
        <f t="shared" si="1"/>
        <v>0</v>
      </c>
      <c r="M76" s="21">
        <f>VLOOKUP(D76,[1]CARTERA!$F:$K,6,0)</f>
        <v>12941364</v>
      </c>
      <c r="N76" s="21">
        <v>12941364</v>
      </c>
      <c r="O76" s="8" t="s">
        <v>457</v>
      </c>
      <c r="P76" s="8" t="s">
        <v>76</v>
      </c>
      <c r="Q76" s="8" t="s">
        <v>458</v>
      </c>
      <c r="R76" s="8" t="s">
        <v>76</v>
      </c>
      <c r="S76" s="8" t="s">
        <v>76</v>
      </c>
      <c r="T76" s="8" t="s">
        <v>76</v>
      </c>
      <c r="U76" s="8" t="s">
        <v>76</v>
      </c>
      <c r="V76" s="8" t="s">
        <v>76</v>
      </c>
      <c r="W76" s="8" t="s">
        <v>76</v>
      </c>
      <c r="X76" s="8" t="s">
        <v>76</v>
      </c>
      <c r="Y76" s="8" t="s">
        <v>76</v>
      </c>
      <c r="Z76" s="8"/>
      <c r="AA76" s="8"/>
      <c r="AB76" s="8" t="s">
        <v>76</v>
      </c>
      <c r="AC76" s="8"/>
    </row>
    <row r="77" spans="1:29" ht="30" customHeight="1" thickTop="1" thickBot="1" x14ac:dyDescent="0.35">
      <c r="A77" s="8" t="s">
        <v>373</v>
      </c>
      <c r="B77" s="8"/>
      <c r="C77" s="8" t="s">
        <v>459</v>
      </c>
      <c r="D77" s="8" t="s">
        <v>703</v>
      </c>
      <c r="E77" s="8" t="s">
        <v>414</v>
      </c>
      <c r="F77" s="8" t="s">
        <v>230</v>
      </c>
      <c r="G77" s="8"/>
      <c r="H77" s="8" t="s">
        <v>461</v>
      </c>
      <c r="I77" s="8" t="s">
        <v>74</v>
      </c>
      <c r="J77" s="8" t="s">
        <v>74</v>
      </c>
      <c r="K77" s="8"/>
      <c r="L77" s="18">
        <f t="shared" si="1"/>
        <v>-1.9600000008940697</v>
      </c>
      <c r="M77" s="21">
        <f>VLOOKUP(D77,[1]CARTERA!$F:$K,6,0)</f>
        <v>41046943.039999999</v>
      </c>
      <c r="N77" s="21">
        <v>41046945</v>
      </c>
      <c r="O77" s="8" t="s">
        <v>463</v>
      </c>
      <c r="P77" s="8" t="s">
        <v>76</v>
      </c>
      <c r="Q77" s="8" t="s">
        <v>464</v>
      </c>
      <c r="R77" s="8" t="s">
        <v>76</v>
      </c>
      <c r="S77" s="8" t="s">
        <v>76</v>
      </c>
      <c r="T77" s="8" t="s">
        <v>76</v>
      </c>
      <c r="U77" s="8" t="s">
        <v>76</v>
      </c>
      <c r="V77" s="8" t="s">
        <v>76</v>
      </c>
      <c r="W77" s="8" t="s">
        <v>76</v>
      </c>
      <c r="X77" s="8" t="s">
        <v>76</v>
      </c>
      <c r="Y77" s="8" t="s">
        <v>76</v>
      </c>
      <c r="Z77" s="8"/>
      <c r="AA77" s="8"/>
      <c r="AB77" s="8" t="s">
        <v>76</v>
      </c>
      <c r="AC77" s="8"/>
    </row>
    <row r="78" spans="1:29" ht="30" customHeight="1" thickTop="1" thickBot="1" x14ac:dyDescent="0.35">
      <c r="A78" s="8" t="s">
        <v>373</v>
      </c>
      <c r="B78" s="8"/>
      <c r="C78" s="8" t="s">
        <v>465</v>
      </c>
      <c r="D78" s="8" t="s">
        <v>704</v>
      </c>
      <c r="E78" s="8" t="s">
        <v>414</v>
      </c>
      <c r="F78" s="8" t="s">
        <v>230</v>
      </c>
      <c r="G78" s="8"/>
      <c r="H78" s="8" t="s">
        <v>467</v>
      </c>
      <c r="I78" s="8" t="s">
        <v>74</v>
      </c>
      <c r="J78" s="8" t="s">
        <v>74</v>
      </c>
      <c r="K78" s="8"/>
      <c r="L78" s="18">
        <f t="shared" si="1"/>
        <v>1.1599999964237213</v>
      </c>
      <c r="M78" s="21">
        <f>VLOOKUP(D78,[1]CARTERA!$F:$K,6,0)</f>
        <v>62787807.159999996</v>
      </c>
      <c r="N78" s="21">
        <v>62787806</v>
      </c>
      <c r="O78" s="8" t="s">
        <v>469</v>
      </c>
      <c r="P78" s="8" t="s">
        <v>76</v>
      </c>
      <c r="Q78" s="8" t="s">
        <v>470</v>
      </c>
      <c r="R78" s="8" t="s">
        <v>76</v>
      </c>
      <c r="S78" s="8" t="s">
        <v>76</v>
      </c>
      <c r="T78" s="8" t="s">
        <v>76</v>
      </c>
      <c r="U78" s="8" t="s">
        <v>76</v>
      </c>
      <c r="V78" s="8" t="s">
        <v>76</v>
      </c>
      <c r="W78" s="8" t="s">
        <v>76</v>
      </c>
      <c r="X78" s="8" t="s">
        <v>76</v>
      </c>
      <c r="Y78" s="8" t="s">
        <v>76</v>
      </c>
      <c r="Z78" s="8"/>
      <c r="AA78" s="8"/>
      <c r="AB78" s="8" t="s">
        <v>76</v>
      </c>
      <c r="AC78" s="8"/>
    </row>
    <row r="79" spans="1:29" ht="30" customHeight="1" thickTop="1" thickBot="1" x14ac:dyDescent="0.35">
      <c r="A79" s="8" t="s">
        <v>373</v>
      </c>
      <c r="B79" s="8"/>
      <c r="C79" s="8" t="s">
        <v>471</v>
      </c>
      <c r="D79" s="8" t="s">
        <v>705</v>
      </c>
      <c r="E79" s="8" t="s">
        <v>414</v>
      </c>
      <c r="F79" s="8" t="s">
        <v>230</v>
      </c>
      <c r="G79" s="8"/>
      <c r="H79" s="8" t="s">
        <v>473</v>
      </c>
      <c r="I79" s="8" t="s">
        <v>74</v>
      </c>
      <c r="J79" s="8" t="s">
        <v>74</v>
      </c>
      <c r="K79" s="8"/>
      <c r="L79" s="18">
        <f t="shared" si="1"/>
        <v>0</v>
      </c>
      <c r="M79" s="21">
        <f>VLOOKUP(D79,[1]CARTERA!$F:$K,6,0)</f>
        <v>86994</v>
      </c>
      <c r="N79" s="21">
        <v>86994</v>
      </c>
      <c r="O79" s="8" t="s">
        <v>475</v>
      </c>
      <c r="P79" s="8" t="s">
        <v>76</v>
      </c>
      <c r="Q79" s="8" t="s">
        <v>476</v>
      </c>
      <c r="R79" s="8" t="s">
        <v>76</v>
      </c>
      <c r="S79" s="8" t="s">
        <v>76</v>
      </c>
      <c r="T79" s="8" t="s">
        <v>76</v>
      </c>
      <c r="U79" s="8" t="s">
        <v>76</v>
      </c>
      <c r="V79" s="8" t="s">
        <v>76</v>
      </c>
      <c r="W79" s="8" t="s">
        <v>76</v>
      </c>
      <c r="X79" s="8" t="s">
        <v>76</v>
      </c>
      <c r="Y79" s="8" t="s">
        <v>76</v>
      </c>
      <c r="Z79" s="8"/>
      <c r="AA79" s="8"/>
      <c r="AB79" s="8" t="s">
        <v>76</v>
      </c>
      <c r="AC79" s="8"/>
    </row>
    <row r="80" spans="1:29" ht="30" customHeight="1" thickTop="1" thickBot="1" x14ac:dyDescent="0.35">
      <c r="A80" s="8" t="s">
        <v>373</v>
      </c>
      <c r="B80" s="8"/>
      <c r="C80" s="8" t="s">
        <v>477</v>
      </c>
      <c r="D80" s="8" t="s">
        <v>706</v>
      </c>
      <c r="E80" s="8" t="s">
        <v>414</v>
      </c>
      <c r="F80" s="8" t="s">
        <v>230</v>
      </c>
      <c r="G80" s="8"/>
      <c r="H80" s="8" t="s">
        <v>479</v>
      </c>
      <c r="I80" s="8" t="s">
        <v>74</v>
      </c>
      <c r="J80" s="8" t="s">
        <v>74</v>
      </c>
      <c r="K80" s="8"/>
      <c r="L80" s="18">
        <f t="shared" si="1"/>
        <v>0</v>
      </c>
      <c r="M80" s="21">
        <f>VLOOKUP(D80,[1]CARTERA!$F:$K,6,0)</f>
        <v>4251270</v>
      </c>
      <c r="N80" s="21">
        <v>4251270</v>
      </c>
      <c r="O80" s="8" t="s">
        <v>481</v>
      </c>
      <c r="P80" s="8" t="s">
        <v>76</v>
      </c>
      <c r="Q80" s="8" t="s">
        <v>482</v>
      </c>
      <c r="R80" s="8" t="s">
        <v>76</v>
      </c>
      <c r="S80" s="8" t="s">
        <v>76</v>
      </c>
      <c r="T80" s="8" t="s">
        <v>76</v>
      </c>
      <c r="U80" s="8" t="s">
        <v>76</v>
      </c>
      <c r="V80" s="8" t="s">
        <v>76</v>
      </c>
      <c r="W80" s="8" t="s">
        <v>76</v>
      </c>
      <c r="X80" s="8" t="s">
        <v>76</v>
      </c>
      <c r="Y80" s="8" t="s">
        <v>76</v>
      </c>
      <c r="Z80" s="8"/>
      <c r="AA80" s="8"/>
      <c r="AB80" s="8" t="s">
        <v>76</v>
      </c>
      <c r="AC80" s="8"/>
    </row>
    <row r="81" spans="1:29" ht="30" customHeight="1" thickTop="1" thickBot="1" x14ac:dyDescent="0.35">
      <c r="A81" s="8" t="s">
        <v>373</v>
      </c>
      <c r="B81" s="8"/>
      <c r="C81" s="8" t="s">
        <v>483</v>
      </c>
      <c r="D81" s="8" t="s">
        <v>707</v>
      </c>
      <c r="E81" s="8" t="s">
        <v>414</v>
      </c>
      <c r="F81" s="8" t="s">
        <v>230</v>
      </c>
      <c r="G81" s="8"/>
      <c r="H81" s="8" t="s">
        <v>461</v>
      </c>
      <c r="I81" s="8" t="s">
        <v>74</v>
      </c>
      <c r="J81" s="8" t="s">
        <v>74</v>
      </c>
      <c r="K81" s="8"/>
      <c r="L81" s="18">
        <f t="shared" si="1"/>
        <v>814.97999998927116</v>
      </c>
      <c r="M81" s="21">
        <f>VLOOKUP(D81,[1]CARTERA!$F:$K,6,0)</f>
        <v>183557983.97999999</v>
      </c>
      <c r="N81" s="21">
        <v>183557169</v>
      </c>
      <c r="O81" s="8" t="s">
        <v>486</v>
      </c>
      <c r="P81" s="8" t="s">
        <v>76</v>
      </c>
      <c r="Q81" s="8" t="s">
        <v>487</v>
      </c>
      <c r="R81" s="8" t="s">
        <v>76</v>
      </c>
      <c r="S81" s="8" t="s">
        <v>76</v>
      </c>
      <c r="T81" s="8" t="s">
        <v>76</v>
      </c>
      <c r="U81" s="8" t="s">
        <v>76</v>
      </c>
      <c r="V81" s="8" t="s">
        <v>76</v>
      </c>
      <c r="W81" s="8" t="s">
        <v>76</v>
      </c>
      <c r="X81" s="8" t="s">
        <v>76</v>
      </c>
      <c r="Y81" s="8" t="s">
        <v>76</v>
      </c>
      <c r="Z81" s="8"/>
      <c r="AA81" s="8"/>
      <c r="AB81" s="8" t="s">
        <v>76</v>
      </c>
      <c r="AC81" s="8"/>
    </row>
    <row r="82" spans="1:29" ht="30" customHeight="1" thickTop="1" thickBot="1" x14ac:dyDescent="0.35">
      <c r="A82" s="8" t="s">
        <v>373</v>
      </c>
      <c r="B82" s="8"/>
      <c r="C82" s="8" t="s">
        <v>488</v>
      </c>
      <c r="D82" s="8" t="s">
        <v>708</v>
      </c>
      <c r="E82" s="8" t="s">
        <v>414</v>
      </c>
      <c r="F82" s="8" t="s">
        <v>490</v>
      </c>
      <c r="G82" s="8"/>
      <c r="H82" s="8" t="s">
        <v>491</v>
      </c>
      <c r="I82" s="8" t="s">
        <v>74</v>
      </c>
      <c r="J82" s="8" t="s">
        <v>74</v>
      </c>
      <c r="K82" s="8"/>
      <c r="L82" s="18">
        <f t="shared" si="1"/>
        <v>0</v>
      </c>
      <c r="M82" s="21">
        <f>VLOOKUP(D82,[1]CARTERA!$F:$K,6,0)</f>
        <v>25005708</v>
      </c>
      <c r="N82" s="21">
        <v>25005708</v>
      </c>
      <c r="O82" s="8" t="s">
        <v>493</v>
      </c>
      <c r="P82" s="8" t="s">
        <v>76</v>
      </c>
      <c r="Q82" s="8" t="s">
        <v>494</v>
      </c>
      <c r="R82" s="8" t="s">
        <v>76</v>
      </c>
      <c r="S82" s="8" t="s">
        <v>76</v>
      </c>
      <c r="T82" s="8" t="s">
        <v>76</v>
      </c>
      <c r="U82" s="8" t="s">
        <v>76</v>
      </c>
      <c r="V82" s="8" t="s">
        <v>76</v>
      </c>
      <c r="W82" s="8" t="s">
        <v>76</v>
      </c>
      <c r="X82" s="8" t="s">
        <v>76</v>
      </c>
      <c r="Y82" s="8" t="s">
        <v>76</v>
      </c>
      <c r="Z82" s="8"/>
      <c r="AA82" s="8"/>
      <c r="AB82" s="8" t="s">
        <v>76</v>
      </c>
      <c r="AC82" s="8"/>
    </row>
    <row r="83" spans="1:29" ht="30" customHeight="1" thickTop="1" thickBot="1" x14ac:dyDescent="0.35">
      <c r="A83" s="8" t="s">
        <v>373</v>
      </c>
      <c r="B83" s="8"/>
      <c r="C83" s="8" t="s">
        <v>495</v>
      </c>
      <c r="D83" s="8" t="s">
        <v>709</v>
      </c>
      <c r="E83" s="8" t="s">
        <v>414</v>
      </c>
      <c r="F83" s="8" t="s">
        <v>490</v>
      </c>
      <c r="G83" s="8"/>
      <c r="H83" s="8" t="s">
        <v>497</v>
      </c>
      <c r="I83" s="8" t="s">
        <v>74</v>
      </c>
      <c r="J83" s="8" t="s">
        <v>74</v>
      </c>
      <c r="K83" s="8"/>
      <c r="L83" s="18">
        <f t="shared" si="1"/>
        <v>2.0800000429153442</v>
      </c>
      <c r="M83" s="21">
        <f>VLOOKUP(D83,[1]CARTERA!$F:$K,6,0)</f>
        <v>603147451.08000004</v>
      </c>
      <c r="N83" s="21">
        <v>603147449</v>
      </c>
      <c r="O83" s="8" t="s">
        <v>499</v>
      </c>
      <c r="P83" s="8" t="s">
        <v>76</v>
      </c>
      <c r="Q83" s="8" t="s">
        <v>500</v>
      </c>
      <c r="R83" s="8" t="s">
        <v>76</v>
      </c>
      <c r="S83" s="8" t="s">
        <v>76</v>
      </c>
      <c r="T83" s="8" t="s">
        <v>76</v>
      </c>
      <c r="U83" s="8" t="s">
        <v>76</v>
      </c>
      <c r="V83" s="8" t="s">
        <v>76</v>
      </c>
      <c r="W83" s="8" t="s">
        <v>76</v>
      </c>
      <c r="X83" s="8" t="s">
        <v>76</v>
      </c>
      <c r="Y83" s="8" t="s">
        <v>76</v>
      </c>
      <c r="Z83" s="8"/>
      <c r="AA83" s="8"/>
      <c r="AB83" s="8" t="s">
        <v>76</v>
      </c>
      <c r="AC83" s="8"/>
    </row>
    <row r="84" spans="1:29" ht="30" hidden="1" customHeight="1" thickTop="1" thickBot="1" x14ac:dyDescent="0.35">
      <c r="A84" s="8" t="s">
        <v>70</v>
      </c>
      <c r="B84" s="8"/>
      <c r="C84" s="8" t="s">
        <v>501</v>
      </c>
      <c r="D84" s="8" t="s">
        <v>502</v>
      </c>
      <c r="E84" s="8" t="s">
        <v>414</v>
      </c>
      <c r="F84" s="8" t="s">
        <v>490</v>
      </c>
      <c r="G84" s="8"/>
      <c r="H84" s="8" t="s">
        <v>497</v>
      </c>
      <c r="I84" s="8" t="s">
        <v>74</v>
      </c>
      <c r="J84" s="8" t="s">
        <v>74</v>
      </c>
      <c r="K84" s="8"/>
      <c r="L84" s="8"/>
      <c r="M84" s="8"/>
      <c r="N84" s="18">
        <v>-9228105</v>
      </c>
      <c r="O84" s="8" t="s">
        <v>504</v>
      </c>
      <c r="P84" s="8" t="s">
        <v>76</v>
      </c>
      <c r="Q84" s="8" t="s">
        <v>505</v>
      </c>
      <c r="R84" s="8" t="s">
        <v>76</v>
      </c>
      <c r="S84" s="8" t="s">
        <v>76</v>
      </c>
      <c r="T84" s="8" t="s">
        <v>76</v>
      </c>
      <c r="U84" s="8" t="s">
        <v>76</v>
      </c>
      <c r="V84" s="8" t="s">
        <v>76</v>
      </c>
      <c r="W84" s="8" t="s">
        <v>76</v>
      </c>
      <c r="X84" s="8" t="s">
        <v>76</v>
      </c>
      <c r="Y84" s="8" t="s">
        <v>76</v>
      </c>
      <c r="Z84" s="8"/>
      <c r="AA84" s="8"/>
      <c r="AB84" s="8" t="s">
        <v>76</v>
      </c>
      <c r="AC84" s="8"/>
    </row>
    <row r="85" spans="1:29" ht="30" customHeight="1" thickTop="1" thickBot="1" x14ac:dyDescent="0.35">
      <c r="A85" s="8" t="s">
        <v>373</v>
      </c>
      <c r="B85" s="8"/>
      <c r="C85" s="8" t="s">
        <v>506</v>
      </c>
      <c r="D85" s="8" t="s">
        <v>710</v>
      </c>
      <c r="E85" s="8" t="s">
        <v>414</v>
      </c>
      <c r="F85" s="8" t="s">
        <v>490</v>
      </c>
      <c r="G85" s="8"/>
      <c r="H85" s="8" t="s">
        <v>497</v>
      </c>
      <c r="I85" s="8" t="s">
        <v>74</v>
      </c>
      <c r="J85" s="8" t="s">
        <v>74</v>
      </c>
      <c r="K85" s="8"/>
      <c r="L85" s="18">
        <f>M85-N85</f>
        <v>-1.4000000059604645</v>
      </c>
      <c r="M85" s="21">
        <f>VLOOKUP(D85,[1]CARTERA!$F:$K,6,0)</f>
        <v>226827779.59999999</v>
      </c>
      <c r="N85" s="21">
        <v>226827781</v>
      </c>
      <c r="O85" s="8" t="s">
        <v>509</v>
      </c>
      <c r="P85" s="8" t="s">
        <v>76</v>
      </c>
      <c r="Q85" s="8" t="s">
        <v>510</v>
      </c>
      <c r="R85" s="8" t="s">
        <v>76</v>
      </c>
      <c r="S85" s="8" t="s">
        <v>76</v>
      </c>
      <c r="T85" s="8" t="s">
        <v>76</v>
      </c>
      <c r="U85" s="8" t="s">
        <v>76</v>
      </c>
      <c r="V85" s="8" t="s">
        <v>76</v>
      </c>
      <c r="W85" s="8" t="s">
        <v>76</v>
      </c>
      <c r="X85" s="8" t="s">
        <v>76</v>
      </c>
      <c r="Y85" s="8" t="s">
        <v>76</v>
      </c>
      <c r="Z85" s="8"/>
      <c r="AA85" s="8"/>
      <c r="AB85" s="8" t="s">
        <v>76</v>
      </c>
      <c r="AC85" s="8"/>
    </row>
    <row r="86" spans="1:29" ht="30" hidden="1" customHeight="1" thickTop="1" thickBot="1" x14ac:dyDescent="0.35">
      <c r="A86" s="8" t="s">
        <v>70</v>
      </c>
      <c r="B86" s="8"/>
      <c r="C86" s="8" t="s">
        <v>511</v>
      </c>
      <c r="D86" s="8" t="s">
        <v>512</v>
      </c>
      <c r="E86" s="8" t="s">
        <v>414</v>
      </c>
      <c r="F86" s="8" t="s">
        <v>490</v>
      </c>
      <c r="G86" s="8"/>
      <c r="H86" s="8" t="s">
        <v>513</v>
      </c>
      <c r="I86" s="8" t="s">
        <v>74</v>
      </c>
      <c r="J86" s="8" t="s">
        <v>74</v>
      </c>
      <c r="K86" s="8"/>
      <c r="L86" s="8"/>
      <c r="M86" s="8"/>
      <c r="N86" s="18">
        <v>-153506</v>
      </c>
      <c r="O86" s="8" t="s">
        <v>515</v>
      </c>
      <c r="P86" s="8" t="s">
        <v>76</v>
      </c>
      <c r="Q86" s="8" t="s">
        <v>516</v>
      </c>
      <c r="R86" s="8" t="s">
        <v>76</v>
      </c>
      <c r="S86" s="8" t="s">
        <v>76</v>
      </c>
      <c r="T86" s="8" t="s">
        <v>76</v>
      </c>
      <c r="U86" s="8" t="s">
        <v>76</v>
      </c>
      <c r="V86" s="8" t="s">
        <v>76</v>
      </c>
      <c r="W86" s="8" t="s">
        <v>76</v>
      </c>
      <c r="X86" s="8" t="s">
        <v>76</v>
      </c>
      <c r="Y86" s="8" t="s">
        <v>76</v>
      </c>
      <c r="Z86" s="8"/>
      <c r="AA86" s="8"/>
      <c r="AB86" s="8" t="s">
        <v>76</v>
      </c>
      <c r="AC86" s="8"/>
    </row>
    <row r="87" spans="1:29" ht="30" customHeight="1" thickTop="1" thickBot="1" x14ac:dyDescent="0.35">
      <c r="A87" s="8" t="s">
        <v>373</v>
      </c>
      <c r="B87" s="8"/>
      <c r="C87" s="8" t="s">
        <v>517</v>
      </c>
      <c r="D87" s="8" t="s">
        <v>729</v>
      </c>
      <c r="E87" s="8" t="s">
        <v>414</v>
      </c>
      <c r="F87" s="8" t="s">
        <v>490</v>
      </c>
      <c r="G87" s="8"/>
      <c r="H87" s="8" t="s">
        <v>513</v>
      </c>
      <c r="I87" s="8" t="s">
        <v>74</v>
      </c>
      <c r="J87" s="8" t="s">
        <v>74</v>
      </c>
      <c r="K87" s="8"/>
      <c r="L87" s="18">
        <f>M87-N87</f>
        <v>0.82999999821186066</v>
      </c>
      <c r="M87" s="21">
        <f>VLOOKUP(D87,[1]CARTERA!$F:$K,6,0)</f>
        <v>60594951.829999998</v>
      </c>
      <c r="N87" s="21">
        <v>60594951</v>
      </c>
      <c r="O87" s="8" t="s">
        <v>520</v>
      </c>
      <c r="P87" s="8" t="s">
        <v>76</v>
      </c>
      <c r="Q87" s="8" t="s">
        <v>521</v>
      </c>
      <c r="R87" s="8" t="s">
        <v>76</v>
      </c>
      <c r="S87" s="8" t="s">
        <v>76</v>
      </c>
      <c r="T87" s="8" t="s">
        <v>76</v>
      </c>
      <c r="U87" s="8" t="s">
        <v>76</v>
      </c>
      <c r="V87" s="8" t="s">
        <v>76</v>
      </c>
      <c r="W87" s="8" t="s">
        <v>76</v>
      </c>
      <c r="X87" s="8" t="s">
        <v>76</v>
      </c>
      <c r="Y87" s="8" t="s">
        <v>76</v>
      </c>
      <c r="Z87" s="8"/>
      <c r="AA87" s="8"/>
      <c r="AB87" s="8" t="s">
        <v>76</v>
      </c>
      <c r="AC87" s="8"/>
    </row>
    <row r="88" spans="1:29" ht="30" hidden="1" customHeight="1" thickTop="1" thickBot="1" x14ac:dyDescent="0.35">
      <c r="A88" s="8" t="s">
        <v>70</v>
      </c>
      <c r="B88" s="8"/>
      <c r="C88" s="8" t="s">
        <v>522</v>
      </c>
      <c r="D88" s="8" t="s">
        <v>523</v>
      </c>
      <c r="E88" s="8" t="s">
        <v>524</v>
      </c>
      <c r="F88" s="8" t="s">
        <v>490</v>
      </c>
      <c r="G88" s="8"/>
      <c r="H88" s="8" t="s">
        <v>525</v>
      </c>
      <c r="I88" s="8" t="s">
        <v>74</v>
      </c>
      <c r="J88" s="8" t="s">
        <v>74</v>
      </c>
      <c r="K88" s="8"/>
      <c r="L88" s="8"/>
      <c r="M88" s="8"/>
      <c r="N88" s="18" t="s">
        <v>526</v>
      </c>
      <c r="O88" s="8" t="s">
        <v>527</v>
      </c>
      <c r="P88" s="8" t="s">
        <v>76</v>
      </c>
      <c r="Q88" s="8" t="s">
        <v>528</v>
      </c>
      <c r="R88" s="8" t="s">
        <v>76</v>
      </c>
      <c r="S88" s="8" t="s">
        <v>76</v>
      </c>
      <c r="T88" s="8" t="s">
        <v>76</v>
      </c>
      <c r="U88" s="8" t="s">
        <v>76</v>
      </c>
      <c r="V88" s="8" t="s">
        <v>76</v>
      </c>
      <c r="W88" s="8" t="s">
        <v>76</v>
      </c>
      <c r="X88" s="8" t="s">
        <v>76</v>
      </c>
      <c r="Y88" s="8" t="s">
        <v>76</v>
      </c>
      <c r="Z88" s="8"/>
      <c r="AA88" s="8"/>
      <c r="AB88" s="8" t="s">
        <v>76</v>
      </c>
      <c r="AC88" s="8"/>
    </row>
    <row r="89" spans="1:29" ht="30" customHeight="1" thickTop="1" thickBot="1" x14ac:dyDescent="0.35">
      <c r="A89" s="8" t="s">
        <v>373</v>
      </c>
      <c r="B89" s="8"/>
      <c r="C89" s="8" t="s">
        <v>529</v>
      </c>
      <c r="D89" s="8" t="s">
        <v>730</v>
      </c>
      <c r="E89" s="8" t="s">
        <v>524</v>
      </c>
      <c r="F89" s="8" t="s">
        <v>490</v>
      </c>
      <c r="G89" s="8"/>
      <c r="H89" s="8" t="s">
        <v>525</v>
      </c>
      <c r="I89" s="8" t="s">
        <v>74</v>
      </c>
      <c r="J89" s="8" t="s">
        <v>74</v>
      </c>
      <c r="K89" s="8"/>
      <c r="L89" s="18">
        <f t="shared" ref="L89:L90" si="2">M89-N89</f>
        <v>-0.40000000037252903</v>
      </c>
      <c r="M89" s="21">
        <f>VLOOKUP(D89,[1]CARTERA!$F:$K,6,0)</f>
        <v>5955580.5999999996</v>
      </c>
      <c r="N89" s="21">
        <v>5955581</v>
      </c>
      <c r="O89" s="8" t="s">
        <v>532</v>
      </c>
      <c r="P89" s="8" t="s">
        <v>76</v>
      </c>
      <c r="Q89" s="8" t="s">
        <v>533</v>
      </c>
      <c r="R89" s="8" t="s">
        <v>76</v>
      </c>
      <c r="S89" s="8" t="s">
        <v>76</v>
      </c>
      <c r="T89" s="8" t="s">
        <v>76</v>
      </c>
      <c r="U89" s="8" t="s">
        <v>76</v>
      </c>
      <c r="V89" s="8" t="s">
        <v>76</v>
      </c>
      <c r="W89" s="8" t="s">
        <v>76</v>
      </c>
      <c r="X89" s="8" t="s">
        <v>76</v>
      </c>
      <c r="Y89" s="8" t="s">
        <v>76</v>
      </c>
      <c r="Z89" s="8"/>
      <c r="AA89" s="8"/>
      <c r="AB89" s="8" t="s">
        <v>76</v>
      </c>
      <c r="AC89" s="8"/>
    </row>
    <row r="90" spans="1:29" ht="30" customHeight="1" thickTop="1" thickBot="1" x14ac:dyDescent="0.35">
      <c r="A90" s="8" t="s">
        <v>373</v>
      </c>
      <c r="B90" s="8"/>
      <c r="C90" s="8" t="s">
        <v>534</v>
      </c>
      <c r="D90" s="8" t="s">
        <v>711</v>
      </c>
      <c r="E90" s="8" t="s">
        <v>524</v>
      </c>
      <c r="F90" s="8" t="s">
        <v>490</v>
      </c>
      <c r="G90" s="8"/>
      <c r="H90" s="8" t="s">
        <v>536</v>
      </c>
      <c r="I90" s="8" t="s">
        <v>74</v>
      </c>
      <c r="J90" s="8" t="s">
        <v>74</v>
      </c>
      <c r="K90" s="8"/>
      <c r="L90" s="18">
        <f t="shared" si="2"/>
        <v>-1.4800000041723251</v>
      </c>
      <c r="M90" s="21">
        <f>VLOOKUP(D90,[1]CARTERA!$F:$K,6,0)</f>
        <v>80498930.519999996</v>
      </c>
      <c r="N90" s="21">
        <v>80498932</v>
      </c>
      <c r="O90" s="8" t="s">
        <v>538</v>
      </c>
      <c r="P90" s="8" t="s">
        <v>76</v>
      </c>
      <c r="Q90" s="8" t="s">
        <v>539</v>
      </c>
      <c r="R90" s="8" t="s">
        <v>76</v>
      </c>
      <c r="S90" s="8" t="s">
        <v>76</v>
      </c>
      <c r="T90" s="8" t="s">
        <v>76</v>
      </c>
      <c r="U90" s="8" t="s">
        <v>76</v>
      </c>
      <c r="V90" s="8" t="s">
        <v>76</v>
      </c>
      <c r="W90" s="8" t="s">
        <v>76</v>
      </c>
      <c r="X90" s="8" t="s">
        <v>76</v>
      </c>
      <c r="Y90" s="8" t="s">
        <v>76</v>
      </c>
      <c r="Z90" s="8"/>
      <c r="AA90" s="8"/>
      <c r="AB90" s="8" t="s">
        <v>76</v>
      </c>
      <c r="AC90" s="8"/>
    </row>
    <row r="91" spans="1:29" ht="30" hidden="1" customHeight="1" thickTop="1" thickBot="1" x14ac:dyDescent="0.35">
      <c r="A91" s="8" t="s">
        <v>70</v>
      </c>
      <c r="B91" s="8"/>
      <c r="C91" s="8" t="s">
        <v>540</v>
      </c>
      <c r="D91" s="8" t="s">
        <v>541</v>
      </c>
      <c r="E91" s="8" t="s">
        <v>524</v>
      </c>
      <c r="F91" s="8" t="s">
        <v>490</v>
      </c>
      <c r="G91" s="8"/>
      <c r="H91" s="8" t="s">
        <v>536</v>
      </c>
      <c r="I91" s="8" t="s">
        <v>74</v>
      </c>
      <c r="J91" s="8" t="s">
        <v>74</v>
      </c>
      <c r="K91" s="8"/>
      <c r="L91" s="8"/>
      <c r="M91" s="8"/>
      <c r="N91" s="18" t="s">
        <v>542</v>
      </c>
      <c r="O91" s="8" t="s">
        <v>543</v>
      </c>
      <c r="P91" s="8" t="s">
        <v>76</v>
      </c>
      <c r="Q91" s="8" t="s">
        <v>544</v>
      </c>
      <c r="R91" s="8" t="s">
        <v>76</v>
      </c>
      <c r="S91" s="8" t="s">
        <v>76</v>
      </c>
      <c r="T91" s="8" t="s">
        <v>76</v>
      </c>
      <c r="U91" s="8" t="s">
        <v>76</v>
      </c>
      <c r="V91" s="8" t="s">
        <v>76</v>
      </c>
      <c r="W91" s="8" t="s">
        <v>76</v>
      </c>
      <c r="X91" s="8" t="s">
        <v>76</v>
      </c>
      <c r="Y91" s="8" t="s">
        <v>76</v>
      </c>
      <c r="Z91" s="8"/>
      <c r="AA91" s="8"/>
      <c r="AB91" s="8" t="s">
        <v>76</v>
      </c>
      <c r="AC91" s="8"/>
    </row>
    <row r="92" spans="1:29" ht="30" customHeight="1" thickTop="1" thickBot="1" x14ac:dyDescent="0.35">
      <c r="A92" s="8" t="s">
        <v>373</v>
      </c>
      <c r="B92" s="8"/>
      <c r="C92" s="8" t="s">
        <v>545</v>
      </c>
      <c r="D92" s="8" t="s">
        <v>712</v>
      </c>
      <c r="E92" s="8" t="s">
        <v>547</v>
      </c>
      <c r="F92" s="8" t="s">
        <v>548</v>
      </c>
      <c r="G92" s="8"/>
      <c r="H92" s="8" t="s">
        <v>549</v>
      </c>
      <c r="I92" s="8" t="s">
        <v>74</v>
      </c>
      <c r="J92" s="8" t="s">
        <v>74</v>
      </c>
      <c r="K92" s="8"/>
      <c r="L92" s="18">
        <f t="shared" ref="L92:L93" si="3">M92-N92</f>
        <v>0</v>
      </c>
      <c r="M92" s="21">
        <f>VLOOKUP(D92,[1]CARTERA!$F:$K,6,0)</f>
        <v>881876</v>
      </c>
      <c r="N92" s="21">
        <v>881876</v>
      </c>
      <c r="O92" s="8" t="s">
        <v>551</v>
      </c>
      <c r="P92" s="8" t="s">
        <v>76</v>
      </c>
      <c r="Q92" s="8" t="s">
        <v>552</v>
      </c>
      <c r="R92" s="8" t="s">
        <v>76</v>
      </c>
      <c r="S92" s="8" t="s">
        <v>76</v>
      </c>
      <c r="T92" s="8" t="s">
        <v>76</v>
      </c>
      <c r="U92" s="8" t="s">
        <v>76</v>
      </c>
      <c r="V92" s="8" t="s">
        <v>76</v>
      </c>
      <c r="W92" s="8" t="s">
        <v>76</v>
      </c>
      <c r="X92" s="8" t="s">
        <v>76</v>
      </c>
      <c r="Y92" s="8" t="s">
        <v>76</v>
      </c>
      <c r="Z92" s="8"/>
      <c r="AA92" s="8"/>
      <c r="AB92" s="8" t="s">
        <v>76</v>
      </c>
      <c r="AC92" s="8"/>
    </row>
    <row r="93" spans="1:29" ht="30" customHeight="1" thickTop="1" thickBot="1" x14ac:dyDescent="0.35">
      <c r="A93" s="8" t="s">
        <v>373</v>
      </c>
      <c r="B93" s="8"/>
      <c r="C93" s="8" t="s">
        <v>553</v>
      </c>
      <c r="D93" s="8" t="s">
        <v>713</v>
      </c>
      <c r="E93" s="8" t="s">
        <v>555</v>
      </c>
      <c r="F93" s="8" t="s">
        <v>548</v>
      </c>
      <c r="G93" s="8"/>
      <c r="H93" s="8" t="s">
        <v>556</v>
      </c>
      <c r="I93" s="8" t="s">
        <v>74</v>
      </c>
      <c r="J93" s="8" t="s">
        <v>74</v>
      </c>
      <c r="K93" s="8"/>
      <c r="L93" s="18">
        <f t="shared" si="3"/>
        <v>-1.1599999964237213</v>
      </c>
      <c r="M93" s="21">
        <f>VLOOKUP(D93,[1]CARTERA!$F:$K,6,0)</f>
        <v>169353910.84</v>
      </c>
      <c r="N93" s="21">
        <v>169353912</v>
      </c>
      <c r="O93" s="8" t="s">
        <v>558</v>
      </c>
      <c r="P93" s="8" t="s">
        <v>76</v>
      </c>
      <c r="Q93" s="8" t="s">
        <v>559</v>
      </c>
      <c r="R93" s="8" t="s">
        <v>76</v>
      </c>
      <c r="S93" s="8" t="s">
        <v>76</v>
      </c>
      <c r="T93" s="8" t="s">
        <v>76</v>
      </c>
      <c r="U93" s="8" t="s">
        <v>76</v>
      </c>
      <c r="V93" s="8" t="s">
        <v>76</v>
      </c>
      <c r="W93" s="8" t="s">
        <v>76</v>
      </c>
      <c r="X93" s="8" t="s">
        <v>76</v>
      </c>
      <c r="Y93" s="8" t="s">
        <v>76</v>
      </c>
      <c r="Z93" s="8"/>
      <c r="AA93" s="8"/>
      <c r="AB93" s="8" t="s">
        <v>76</v>
      </c>
      <c r="AC93" s="8"/>
    </row>
    <row r="94" spans="1:29" ht="30" hidden="1" customHeight="1" thickTop="1" thickBot="1" x14ac:dyDescent="0.35">
      <c r="A94" s="8" t="s">
        <v>70</v>
      </c>
      <c r="B94" s="8"/>
      <c r="C94" s="8" t="s">
        <v>560</v>
      </c>
      <c r="D94" s="8" t="s">
        <v>561</v>
      </c>
      <c r="E94" s="8" t="s">
        <v>555</v>
      </c>
      <c r="F94" s="8" t="s">
        <v>548</v>
      </c>
      <c r="G94" s="8"/>
      <c r="H94" s="8" t="s">
        <v>556</v>
      </c>
      <c r="I94" s="8" t="s">
        <v>74</v>
      </c>
      <c r="J94" s="8" t="s">
        <v>74</v>
      </c>
      <c r="K94" s="8"/>
      <c r="L94" s="8"/>
      <c r="M94" s="8"/>
      <c r="N94" s="18">
        <v>-170654</v>
      </c>
      <c r="O94" s="8" t="s">
        <v>563</v>
      </c>
      <c r="P94" s="8" t="s">
        <v>76</v>
      </c>
      <c r="Q94" s="8" t="s">
        <v>564</v>
      </c>
      <c r="R94" s="8" t="s">
        <v>76</v>
      </c>
      <c r="S94" s="8" t="s">
        <v>76</v>
      </c>
      <c r="T94" s="8" t="s">
        <v>76</v>
      </c>
      <c r="U94" s="8" t="s">
        <v>76</v>
      </c>
      <c r="V94" s="8" t="s">
        <v>76</v>
      </c>
      <c r="W94" s="8" t="s">
        <v>76</v>
      </c>
      <c r="X94" s="8" t="s">
        <v>76</v>
      </c>
      <c r="Y94" s="8" t="s">
        <v>76</v>
      </c>
      <c r="Z94" s="8"/>
      <c r="AA94" s="8"/>
      <c r="AB94" s="8" t="s">
        <v>76</v>
      </c>
      <c r="AC94" s="8"/>
    </row>
    <row r="95" spans="1:29" ht="30" hidden="1" customHeight="1" thickTop="1" thickBot="1" x14ac:dyDescent="0.35">
      <c r="A95" s="8" t="s">
        <v>70</v>
      </c>
      <c r="B95" s="8"/>
      <c r="C95" s="8" t="s">
        <v>565</v>
      </c>
      <c r="D95" s="8" t="s">
        <v>566</v>
      </c>
      <c r="E95" s="8" t="s">
        <v>555</v>
      </c>
      <c r="F95" s="8" t="s">
        <v>548</v>
      </c>
      <c r="G95" s="8"/>
      <c r="H95" s="8" t="s">
        <v>567</v>
      </c>
      <c r="I95" s="8" t="s">
        <v>74</v>
      </c>
      <c r="J95" s="8" t="s">
        <v>74</v>
      </c>
      <c r="K95" s="8"/>
      <c r="L95" s="8"/>
      <c r="M95" s="8"/>
      <c r="N95" s="18" t="s">
        <v>568</v>
      </c>
      <c r="O95" s="8" t="s">
        <v>569</v>
      </c>
      <c r="P95" s="8" t="s">
        <v>76</v>
      </c>
      <c r="Q95" s="8" t="s">
        <v>570</v>
      </c>
      <c r="R95" s="8" t="s">
        <v>76</v>
      </c>
      <c r="S95" s="8" t="s">
        <v>76</v>
      </c>
      <c r="T95" s="8" t="s">
        <v>76</v>
      </c>
      <c r="U95" s="8" t="s">
        <v>76</v>
      </c>
      <c r="V95" s="8" t="s">
        <v>76</v>
      </c>
      <c r="W95" s="8" t="s">
        <v>76</v>
      </c>
      <c r="X95" s="8" t="s">
        <v>76</v>
      </c>
      <c r="Y95" s="8" t="s">
        <v>76</v>
      </c>
      <c r="Z95" s="8"/>
      <c r="AA95" s="8"/>
      <c r="AB95" s="8" t="s">
        <v>76</v>
      </c>
      <c r="AC95" s="8"/>
    </row>
    <row r="96" spans="1:29" ht="30" customHeight="1" thickTop="1" thickBot="1" x14ac:dyDescent="0.35">
      <c r="A96" s="8" t="s">
        <v>373</v>
      </c>
      <c r="B96" s="8"/>
      <c r="C96" s="8" t="s">
        <v>571</v>
      </c>
      <c r="D96" s="8" t="s">
        <v>731</v>
      </c>
      <c r="E96" s="8" t="s">
        <v>555</v>
      </c>
      <c r="F96" s="8" t="s">
        <v>548</v>
      </c>
      <c r="G96" s="8"/>
      <c r="H96" s="8" t="s">
        <v>567</v>
      </c>
      <c r="I96" s="8" t="s">
        <v>74</v>
      </c>
      <c r="J96" s="8" t="s">
        <v>74</v>
      </c>
      <c r="K96" s="8"/>
      <c r="L96" s="18">
        <f t="shared" ref="L96:L98" si="4">M96-N96</f>
        <v>0</v>
      </c>
      <c r="M96" s="21">
        <f>VLOOKUP(D96,[1]CARTERA!$F:$K,6,0)</f>
        <v>12674545</v>
      </c>
      <c r="N96" s="21">
        <v>12674545</v>
      </c>
      <c r="O96" s="8" t="s">
        <v>574</v>
      </c>
      <c r="P96" s="8" t="s">
        <v>76</v>
      </c>
      <c r="Q96" s="8" t="s">
        <v>575</v>
      </c>
      <c r="R96" s="8" t="s">
        <v>76</v>
      </c>
      <c r="S96" s="8" t="s">
        <v>76</v>
      </c>
      <c r="T96" s="8" t="s">
        <v>76</v>
      </c>
      <c r="U96" s="8" t="s">
        <v>76</v>
      </c>
      <c r="V96" s="8" t="s">
        <v>76</v>
      </c>
      <c r="W96" s="8" t="s">
        <v>76</v>
      </c>
      <c r="X96" s="8" t="s">
        <v>76</v>
      </c>
      <c r="Y96" s="8" t="s">
        <v>76</v>
      </c>
      <c r="Z96" s="8"/>
      <c r="AA96" s="8"/>
      <c r="AB96" s="8" t="s">
        <v>76</v>
      </c>
      <c r="AC96" s="8"/>
    </row>
    <row r="97" spans="1:29" ht="30" customHeight="1" thickTop="1" thickBot="1" x14ac:dyDescent="0.35">
      <c r="A97" s="8" t="s">
        <v>373</v>
      </c>
      <c r="B97" s="8"/>
      <c r="C97" s="8" t="s">
        <v>576</v>
      </c>
      <c r="D97" s="8" t="s">
        <v>714</v>
      </c>
      <c r="E97" s="8" t="s">
        <v>578</v>
      </c>
      <c r="F97" s="8" t="s">
        <v>548</v>
      </c>
      <c r="G97" s="8"/>
      <c r="H97" s="8" t="s">
        <v>579</v>
      </c>
      <c r="I97" s="8" t="s">
        <v>74</v>
      </c>
      <c r="J97" s="8" t="s">
        <v>74</v>
      </c>
      <c r="K97" s="8"/>
      <c r="L97" s="18">
        <f t="shared" si="4"/>
        <v>0</v>
      </c>
      <c r="M97" s="21">
        <f>VLOOKUP(D97,[1]CARTERA!$F:$K,6,0)</f>
        <v>7582323</v>
      </c>
      <c r="N97" s="21">
        <v>7582323</v>
      </c>
      <c r="O97" s="8" t="s">
        <v>581</v>
      </c>
      <c r="P97" s="8" t="s">
        <v>76</v>
      </c>
      <c r="Q97" s="8" t="s">
        <v>582</v>
      </c>
      <c r="R97" s="8" t="s">
        <v>76</v>
      </c>
      <c r="S97" s="8" t="s">
        <v>76</v>
      </c>
      <c r="T97" s="8" t="s">
        <v>76</v>
      </c>
      <c r="U97" s="8" t="s">
        <v>76</v>
      </c>
      <c r="V97" s="8" t="s">
        <v>76</v>
      </c>
      <c r="W97" s="8" t="s">
        <v>76</v>
      </c>
      <c r="X97" s="8" t="s">
        <v>76</v>
      </c>
      <c r="Y97" s="8" t="s">
        <v>76</v>
      </c>
      <c r="Z97" s="8"/>
      <c r="AA97" s="8"/>
      <c r="AB97" s="8" t="s">
        <v>76</v>
      </c>
      <c r="AC97" s="8"/>
    </row>
    <row r="98" spans="1:29" ht="30" customHeight="1" thickTop="1" thickBot="1" x14ac:dyDescent="0.35">
      <c r="A98" s="8" t="s">
        <v>373</v>
      </c>
      <c r="B98" s="8"/>
      <c r="C98" s="8" t="s">
        <v>583</v>
      </c>
      <c r="D98" s="8" t="s">
        <v>715</v>
      </c>
      <c r="E98" s="8" t="s">
        <v>578</v>
      </c>
      <c r="F98" s="8" t="s">
        <v>548</v>
      </c>
      <c r="G98" s="8"/>
      <c r="H98" s="8" t="s">
        <v>585</v>
      </c>
      <c r="I98" s="8" t="s">
        <v>74</v>
      </c>
      <c r="J98" s="8" t="s">
        <v>74</v>
      </c>
      <c r="K98" s="8"/>
      <c r="L98" s="18">
        <f t="shared" si="4"/>
        <v>3.4599999785423279</v>
      </c>
      <c r="M98" s="21">
        <f>VLOOKUP(D98,[1]CARTERA!$F:$K,6,0)</f>
        <v>284216762.45999998</v>
      </c>
      <c r="N98" s="21">
        <v>284216759</v>
      </c>
      <c r="O98" s="8" t="s">
        <v>587</v>
      </c>
      <c r="P98" s="8" t="s">
        <v>76</v>
      </c>
      <c r="Q98" s="8" t="s">
        <v>588</v>
      </c>
      <c r="R98" s="8" t="s">
        <v>76</v>
      </c>
      <c r="S98" s="8" t="s">
        <v>76</v>
      </c>
      <c r="T98" s="8" t="s">
        <v>76</v>
      </c>
      <c r="U98" s="8" t="s">
        <v>76</v>
      </c>
      <c r="V98" s="8" t="s">
        <v>76</v>
      </c>
      <c r="W98" s="8" t="s">
        <v>76</v>
      </c>
      <c r="X98" s="8" t="s">
        <v>76</v>
      </c>
      <c r="Y98" s="8" t="s">
        <v>76</v>
      </c>
      <c r="Z98" s="8"/>
      <c r="AA98" s="8"/>
      <c r="AB98" s="8" t="s">
        <v>76</v>
      </c>
      <c r="AC98" s="8"/>
    </row>
    <row r="99" spans="1:29" ht="30" hidden="1" customHeight="1" thickTop="1" thickBot="1" x14ac:dyDescent="0.35">
      <c r="A99" s="8" t="s">
        <v>70</v>
      </c>
      <c r="B99" s="8"/>
      <c r="C99" s="8" t="s">
        <v>589</v>
      </c>
      <c r="D99" s="8" t="s">
        <v>590</v>
      </c>
      <c r="E99" s="8" t="s">
        <v>578</v>
      </c>
      <c r="F99" s="8" t="s">
        <v>548</v>
      </c>
      <c r="G99" s="8"/>
      <c r="H99" s="8" t="s">
        <v>585</v>
      </c>
      <c r="I99" s="8" t="s">
        <v>74</v>
      </c>
      <c r="J99" s="8" t="s">
        <v>74</v>
      </c>
      <c r="K99" s="8"/>
      <c r="L99" s="8"/>
      <c r="M99" s="8"/>
      <c r="N99" s="18">
        <v>-113546</v>
      </c>
      <c r="O99" s="8" t="s">
        <v>592</v>
      </c>
      <c r="P99" s="8" t="s">
        <v>76</v>
      </c>
      <c r="Q99" s="8" t="s">
        <v>593</v>
      </c>
      <c r="R99" s="8" t="s">
        <v>76</v>
      </c>
      <c r="S99" s="8" t="s">
        <v>76</v>
      </c>
      <c r="T99" s="8" t="s">
        <v>76</v>
      </c>
      <c r="U99" s="8" t="s">
        <v>76</v>
      </c>
      <c r="V99" s="8" t="s">
        <v>76</v>
      </c>
      <c r="W99" s="8" t="s">
        <v>76</v>
      </c>
      <c r="X99" s="8" t="s">
        <v>76</v>
      </c>
      <c r="Y99" s="8" t="s">
        <v>76</v>
      </c>
      <c r="Z99" s="8"/>
      <c r="AA99" s="8"/>
      <c r="AB99" s="8" t="s">
        <v>76</v>
      </c>
      <c r="AC99" s="8"/>
    </row>
    <row r="100" spans="1:29" ht="30" customHeight="1" thickTop="1" thickBot="1" x14ac:dyDescent="0.35">
      <c r="A100" s="8" t="s">
        <v>373</v>
      </c>
      <c r="B100" s="8"/>
      <c r="C100" s="8" t="s">
        <v>594</v>
      </c>
      <c r="D100" s="8" t="s">
        <v>716</v>
      </c>
      <c r="E100" s="8" t="s">
        <v>578</v>
      </c>
      <c r="F100" s="8" t="s">
        <v>548</v>
      </c>
      <c r="G100" s="8"/>
      <c r="H100" s="8" t="s">
        <v>585</v>
      </c>
      <c r="I100" s="8" t="s">
        <v>74</v>
      </c>
      <c r="J100" s="8" t="s">
        <v>74</v>
      </c>
      <c r="K100" s="8"/>
      <c r="L100" s="18">
        <f t="shared" ref="L100:L103" si="5">M100-N100</f>
        <v>0.7199999988079071</v>
      </c>
      <c r="M100" s="21">
        <f>VLOOKUP(D100,[1]CARTERA!$F:$K,6,0)</f>
        <v>84565032.719999999</v>
      </c>
      <c r="N100" s="21">
        <v>84565032</v>
      </c>
      <c r="O100" s="8" t="s">
        <v>597</v>
      </c>
      <c r="P100" s="8" t="s">
        <v>76</v>
      </c>
      <c r="Q100" s="8" t="s">
        <v>598</v>
      </c>
      <c r="R100" s="8" t="s">
        <v>76</v>
      </c>
      <c r="S100" s="8" t="s">
        <v>76</v>
      </c>
      <c r="T100" s="8" t="s">
        <v>76</v>
      </c>
      <c r="U100" s="8" t="s">
        <v>76</v>
      </c>
      <c r="V100" s="8" t="s">
        <v>76</v>
      </c>
      <c r="W100" s="8" t="s">
        <v>76</v>
      </c>
      <c r="X100" s="8" t="s">
        <v>76</v>
      </c>
      <c r="Y100" s="8" t="s">
        <v>76</v>
      </c>
      <c r="Z100" s="8"/>
      <c r="AA100" s="8"/>
      <c r="AB100" s="8" t="s">
        <v>76</v>
      </c>
      <c r="AC100" s="8"/>
    </row>
    <row r="101" spans="1:29" ht="30" customHeight="1" thickTop="1" thickBot="1" x14ac:dyDescent="0.35">
      <c r="A101" s="8" t="s">
        <v>373</v>
      </c>
      <c r="B101" s="8"/>
      <c r="C101" s="8" t="s">
        <v>599</v>
      </c>
      <c r="D101" s="8" t="s">
        <v>717</v>
      </c>
      <c r="E101" s="8" t="s">
        <v>578</v>
      </c>
      <c r="F101" s="8" t="s">
        <v>548</v>
      </c>
      <c r="G101" s="8"/>
      <c r="H101" s="8" t="s">
        <v>601</v>
      </c>
      <c r="I101" s="8" t="s">
        <v>74</v>
      </c>
      <c r="J101" s="8" t="s">
        <v>74</v>
      </c>
      <c r="K101" s="8"/>
      <c r="L101" s="18">
        <f t="shared" si="5"/>
        <v>-0.51999999582767487</v>
      </c>
      <c r="M101" s="21">
        <f>VLOOKUP(D101,[1]CARTERA!$F:$K,6,0)</f>
        <v>118098127.48</v>
      </c>
      <c r="N101" s="21">
        <v>118098128</v>
      </c>
      <c r="O101" s="8" t="s">
        <v>603</v>
      </c>
      <c r="P101" s="8" t="s">
        <v>76</v>
      </c>
      <c r="Q101" s="8" t="s">
        <v>604</v>
      </c>
      <c r="R101" s="8" t="s">
        <v>76</v>
      </c>
      <c r="S101" s="8" t="s">
        <v>76</v>
      </c>
      <c r="T101" s="8" t="s">
        <v>76</v>
      </c>
      <c r="U101" s="8" t="s">
        <v>76</v>
      </c>
      <c r="V101" s="8" t="s">
        <v>76</v>
      </c>
      <c r="W101" s="8" t="s">
        <v>76</v>
      </c>
      <c r="X101" s="8" t="s">
        <v>76</v>
      </c>
      <c r="Y101" s="8" t="s">
        <v>76</v>
      </c>
      <c r="Z101" s="8"/>
      <c r="AA101" s="8"/>
      <c r="AB101" s="8" t="s">
        <v>76</v>
      </c>
      <c r="AC101" s="8"/>
    </row>
    <row r="102" spans="1:29" ht="30" customHeight="1" thickTop="1" thickBot="1" x14ac:dyDescent="0.35">
      <c r="A102" s="8" t="s">
        <v>373</v>
      </c>
      <c r="B102" s="8"/>
      <c r="C102" s="8" t="s">
        <v>605</v>
      </c>
      <c r="D102" s="8" t="s">
        <v>718</v>
      </c>
      <c r="E102" s="8" t="s">
        <v>578</v>
      </c>
      <c r="F102" s="8" t="s">
        <v>201</v>
      </c>
      <c r="G102" s="8"/>
      <c r="H102" s="8" t="s">
        <v>607</v>
      </c>
      <c r="I102" s="8" t="s">
        <v>74</v>
      </c>
      <c r="J102" s="8" t="s">
        <v>74</v>
      </c>
      <c r="K102" s="8"/>
      <c r="L102" s="18">
        <f t="shared" si="5"/>
        <v>0.43999999761581421</v>
      </c>
      <c r="M102" s="21">
        <f>VLOOKUP(D102,[1]CARTERA!$F:$K,6,0)</f>
        <v>34118095.439999998</v>
      </c>
      <c r="N102" s="21">
        <v>34118095</v>
      </c>
      <c r="O102" s="8" t="s">
        <v>609</v>
      </c>
      <c r="P102" s="8" t="s">
        <v>76</v>
      </c>
      <c r="Q102" s="8" t="s">
        <v>610</v>
      </c>
      <c r="R102" s="8" t="s">
        <v>76</v>
      </c>
      <c r="S102" s="8" t="s">
        <v>76</v>
      </c>
      <c r="T102" s="8" t="s">
        <v>76</v>
      </c>
      <c r="U102" s="8" t="s">
        <v>76</v>
      </c>
      <c r="V102" s="8" t="s">
        <v>76</v>
      </c>
      <c r="W102" s="8" t="s">
        <v>76</v>
      </c>
      <c r="X102" s="8" t="s">
        <v>76</v>
      </c>
      <c r="Y102" s="8" t="s">
        <v>76</v>
      </c>
      <c r="Z102" s="8"/>
      <c r="AA102" s="8"/>
      <c r="AB102" s="8" t="s">
        <v>76</v>
      </c>
      <c r="AC102" s="8"/>
    </row>
    <row r="103" spans="1:29" ht="30" customHeight="1" thickTop="1" thickBot="1" x14ac:dyDescent="0.35">
      <c r="A103" s="8" t="s">
        <v>373</v>
      </c>
      <c r="B103" s="8"/>
      <c r="C103" s="8" t="s">
        <v>611</v>
      </c>
      <c r="D103" s="8" t="s">
        <v>719</v>
      </c>
      <c r="E103" s="8" t="s">
        <v>578</v>
      </c>
      <c r="F103" s="8" t="s">
        <v>201</v>
      </c>
      <c r="G103" s="8"/>
      <c r="H103" s="8" t="s">
        <v>613</v>
      </c>
      <c r="I103" s="8" t="s">
        <v>74</v>
      </c>
      <c r="J103" s="8" t="s">
        <v>74</v>
      </c>
      <c r="K103" s="8"/>
      <c r="L103" s="18">
        <f t="shared" si="5"/>
        <v>-1</v>
      </c>
      <c r="M103" s="21">
        <f>VLOOKUP(D103,[1]CARTERA!$F:$K,6,0)</f>
        <v>744473</v>
      </c>
      <c r="N103" s="21">
        <v>744474</v>
      </c>
      <c r="O103" s="8" t="s">
        <v>615</v>
      </c>
      <c r="P103" s="8" t="s">
        <v>76</v>
      </c>
      <c r="Q103" s="8" t="s">
        <v>616</v>
      </c>
      <c r="R103" s="8" t="s">
        <v>76</v>
      </c>
      <c r="S103" s="8" t="s">
        <v>76</v>
      </c>
      <c r="T103" s="8" t="s">
        <v>76</v>
      </c>
      <c r="U103" s="8" t="s">
        <v>76</v>
      </c>
      <c r="V103" s="8" t="s">
        <v>76</v>
      </c>
      <c r="W103" s="8" t="s">
        <v>76</v>
      </c>
      <c r="X103" s="8" t="s">
        <v>76</v>
      </c>
      <c r="Y103" s="8" t="s">
        <v>76</v>
      </c>
      <c r="Z103" s="8"/>
      <c r="AA103" s="8"/>
      <c r="AB103" s="8" t="s">
        <v>76</v>
      </c>
      <c r="AC103" s="8"/>
    </row>
    <row r="104" spans="1:29" ht="30" hidden="1" customHeight="1" thickTop="1" thickBot="1" x14ac:dyDescent="0.35">
      <c r="A104" s="8" t="s">
        <v>70</v>
      </c>
      <c r="B104" s="8"/>
      <c r="C104" s="8" t="s">
        <v>617</v>
      </c>
      <c r="D104" s="8" t="s">
        <v>618</v>
      </c>
      <c r="E104" s="8" t="s">
        <v>578</v>
      </c>
      <c r="F104" s="8" t="s">
        <v>201</v>
      </c>
      <c r="G104" s="8"/>
      <c r="H104" s="8" t="s">
        <v>619</v>
      </c>
      <c r="I104" s="8" t="s">
        <v>74</v>
      </c>
      <c r="J104" s="8" t="s">
        <v>74</v>
      </c>
      <c r="K104" s="8"/>
      <c r="L104" s="8"/>
      <c r="M104" s="8"/>
      <c r="N104" s="18" t="s">
        <v>620</v>
      </c>
      <c r="O104" s="8" t="s">
        <v>620</v>
      </c>
      <c r="P104" s="8" t="s">
        <v>76</v>
      </c>
      <c r="Q104" s="8" t="s">
        <v>76</v>
      </c>
      <c r="R104" s="8" t="s">
        <v>76</v>
      </c>
      <c r="S104" s="8" t="s">
        <v>76</v>
      </c>
      <c r="T104" s="8" t="s">
        <v>76</v>
      </c>
      <c r="U104" s="8" t="s">
        <v>76</v>
      </c>
      <c r="V104" s="8" t="s">
        <v>76</v>
      </c>
      <c r="W104" s="8" t="s">
        <v>76</v>
      </c>
      <c r="X104" s="8" t="s">
        <v>76</v>
      </c>
      <c r="Y104" s="8" t="s">
        <v>76</v>
      </c>
      <c r="Z104" s="8"/>
      <c r="AA104" s="8"/>
      <c r="AB104" s="8" t="s">
        <v>76</v>
      </c>
      <c r="AC104" s="8"/>
    </row>
    <row r="105" spans="1:29" ht="30" customHeight="1" thickTop="1" thickBot="1" x14ac:dyDescent="0.35">
      <c r="A105" s="8" t="s">
        <v>373</v>
      </c>
      <c r="B105" s="8"/>
      <c r="C105" s="8" t="s">
        <v>621</v>
      </c>
      <c r="D105" s="8" t="s">
        <v>732</v>
      </c>
      <c r="E105" s="8" t="s">
        <v>578</v>
      </c>
      <c r="F105" s="8" t="s">
        <v>201</v>
      </c>
      <c r="G105" s="8"/>
      <c r="H105" s="8" t="s">
        <v>619</v>
      </c>
      <c r="I105" s="8" t="s">
        <v>74</v>
      </c>
      <c r="J105" s="8" t="s">
        <v>74</v>
      </c>
      <c r="K105" s="8"/>
      <c r="L105" s="18">
        <f>M105-N105</f>
        <v>0.5</v>
      </c>
      <c r="M105" s="21">
        <f>VLOOKUP(D105,[1]CARTERA!$F:$K,6,0)</f>
        <v>83124.5</v>
      </c>
      <c r="N105" s="21">
        <v>83124</v>
      </c>
      <c r="O105" s="8" t="s">
        <v>624</v>
      </c>
      <c r="P105" s="8" t="s">
        <v>76</v>
      </c>
      <c r="Q105" s="8" t="s">
        <v>625</v>
      </c>
      <c r="R105" s="8" t="s">
        <v>76</v>
      </c>
      <c r="S105" s="8" t="s">
        <v>76</v>
      </c>
      <c r="T105" s="8" t="s">
        <v>76</v>
      </c>
      <c r="U105" s="8" t="s">
        <v>76</v>
      </c>
      <c r="V105" s="8" t="s">
        <v>76</v>
      </c>
      <c r="W105" s="8" t="s">
        <v>76</v>
      </c>
      <c r="X105" s="8" t="s">
        <v>76</v>
      </c>
      <c r="Y105" s="8" t="s">
        <v>76</v>
      </c>
      <c r="Z105" s="8"/>
      <c r="AA105" s="8"/>
      <c r="AB105" s="8" t="s">
        <v>76</v>
      </c>
      <c r="AC105" s="8"/>
    </row>
    <row r="106" spans="1:29" ht="30" hidden="1" customHeight="1" thickTop="1" thickBot="1" x14ac:dyDescent="0.35">
      <c r="A106" s="8" t="s">
        <v>70</v>
      </c>
      <c r="B106" s="8"/>
      <c r="C106" s="8" t="s">
        <v>626</v>
      </c>
      <c r="D106" s="8" t="s">
        <v>627</v>
      </c>
      <c r="E106" s="8" t="s">
        <v>578</v>
      </c>
      <c r="F106" s="8" t="s">
        <v>201</v>
      </c>
      <c r="G106" s="8"/>
      <c r="H106" s="8"/>
      <c r="I106" s="8" t="s">
        <v>74</v>
      </c>
      <c r="J106" s="8" t="s">
        <v>74</v>
      </c>
      <c r="K106" s="8"/>
      <c r="L106" s="8"/>
      <c r="M106" s="8"/>
      <c r="N106" s="18">
        <v>-25780</v>
      </c>
      <c r="O106" s="8" t="s">
        <v>76</v>
      </c>
      <c r="P106" s="8" t="s">
        <v>76</v>
      </c>
      <c r="Q106" s="8" t="s">
        <v>76</v>
      </c>
      <c r="R106" s="8" t="s">
        <v>76</v>
      </c>
      <c r="S106" s="8" t="s">
        <v>76</v>
      </c>
      <c r="T106" s="8" t="s">
        <v>76</v>
      </c>
      <c r="U106" s="8" t="s">
        <v>76</v>
      </c>
      <c r="V106" s="8" t="s">
        <v>76</v>
      </c>
      <c r="W106" s="8" t="s">
        <v>76</v>
      </c>
      <c r="X106" s="8" t="s">
        <v>76</v>
      </c>
      <c r="Y106" s="8" t="s">
        <v>76</v>
      </c>
      <c r="Z106" s="8"/>
      <c r="AA106" s="8"/>
      <c r="AB106" s="8" t="s">
        <v>76</v>
      </c>
      <c r="AC106" s="8"/>
    </row>
    <row r="107" spans="1:29" ht="30" customHeight="1" thickTop="1" thickBot="1" x14ac:dyDescent="0.35">
      <c r="A107" s="8" t="s">
        <v>373</v>
      </c>
      <c r="B107" s="8"/>
      <c r="C107" s="8" t="s">
        <v>629</v>
      </c>
      <c r="D107" s="8" t="s">
        <v>733</v>
      </c>
      <c r="E107" s="8" t="s">
        <v>578</v>
      </c>
      <c r="F107" s="8" t="s">
        <v>201</v>
      </c>
      <c r="G107" s="8"/>
      <c r="H107" s="8" t="s">
        <v>631</v>
      </c>
      <c r="I107" s="8" t="s">
        <v>74</v>
      </c>
      <c r="J107" s="8" t="s">
        <v>74</v>
      </c>
      <c r="K107" s="8"/>
      <c r="L107" s="18">
        <f t="shared" ref="L107:L108" si="6">M107-N107</f>
        <v>0.99000000953674316</v>
      </c>
      <c r="M107" s="21">
        <f>VLOOKUP(D107,[1]CARTERA!$F:$K,6,0)</f>
        <v>196989499.99000001</v>
      </c>
      <c r="N107" s="21">
        <v>196989499</v>
      </c>
      <c r="O107" s="8" t="s">
        <v>633</v>
      </c>
      <c r="P107" s="8" t="s">
        <v>76</v>
      </c>
      <c r="Q107" s="8" t="s">
        <v>634</v>
      </c>
      <c r="R107" s="8" t="s">
        <v>76</v>
      </c>
      <c r="S107" s="8" t="s">
        <v>76</v>
      </c>
      <c r="T107" s="8" t="s">
        <v>76</v>
      </c>
      <c r="U107" s="8" t="s">
        <v>76</v>
      </c>
      <c r="V107" s="8" t="s">
        <v>76</v>
      </c>
      <c r="W107" s="8" t="s">
        <v>76</v>
      </c>
      <c r="X107" s="8" t="s">
        <v>76</v>
      </c>
      <c r="Y107" s="8" t="s">
        <v>76</v>
      </c>
      <c r="Z107" s="8"/>
      <c r="AA107" s="8"/>
      <c r="AB107" s="8" t="s">
        <v>76</v>
      </c>
      <c r="AC107" s="8"/>
    </row>
    <row r="108" spans="1:29" ht="30" customHeight="1" thickTop="1" thickBot="1" x14ac:dyDescent="0.35">
      <c r="A108" s="8" t="s">
        <v>373</v>
      </c>
      <c r="B108" s="8"/>
      <c r="C108" s="8" t="s">
        <v>635</v>
      </c>
      <c r="D108" s="8" t="s">
        <v>720</v>
      </c>
      <c r="E108" s="8" t="s">
        <v>578</v>
      </c>
      <c r="F108" s="8" t="s">
        <v>201</v>
      </c>
      <c r="G108" s="8"/>
      <c r="H108" s="8" t="s">
        <v>637</v>
      </c>
      <c r="I108" s="8" t="s">
        <v>74</v>
      </c>
      <c r="J108" s="8" t="s">
        <v>74</v>
      </c>
      <c r="K108" s="8"/>
      <c r="L108" s="18">
        <f t="shared" si="6"/>
        <v>29.319999992847443</v>
      </c>
      <c r="M108" s="21">
        <f>VLOOKUP(D108,[1]CARTERA!$F:$K,6,0)</f>
        <v>120370911.31999999</v>
      </c>
      <c r="N108" s="21">
        <v>120370882</v>
      </c>
      <c r="O108" s="8" t="s">
        <v>639</v>
      </c>
      <c r="P108" s="8" t="s">
        <v>76</v>
      </c>
      <c r="Q108" s="8" t="s">
        <v>640</v>
      </c>
      <c r="R108" s="8" t="s">
        <v>76</v>
      </c>
      <c r="S108" s="8" t="s">
        <v>76</v>
      </c>
      <c r="T108" s="8" t="s">
        <v>76</v>
      </c>
      <c r="U108" s="8" t="s">
        <v>76</v>
      </c>
      <c r="V108" s="8" t="s">
        <v>76</v>
      </c>
      <c r="W108" s="8" t="s">
        <v>76</v>
      </c>
      <c r="X108" s="8" t="s">
        <v>76</v>
      </c>
      <c r="Y108" s="8" t="s">
        <v>76</v>
      </c>
      <c r="Z108" s="8"/>
      <c r="AA108" s="8"/>
      <c r="AB108" s="8" t="s">
        <v>76</v>
      </c>
      <c r="AC108" s="8"/>
    </row>
    <row r="109" spans="1:29" ht="30" hidden="1" customHeight="1" thickTop="1" thickBot="1" x14ac:dyDescent="0.35">
      <c r="A109" s="8" t="s">
        <v>70</v>
      </c>
      <c r="B109" s="8"/>
      <c r="C109" s="8" t="s">
        <v>641</v>
      </c>
      <c r="D109" s="8" t="s">
        <v>642</v>
      </c>
      <c r="E109" s="8" t="s">
        <v>578</v>
      </c>
      <c r="F109" s="8" t="s">
        <v>201</v>
      </c>
      <c r="G109" s="8"/>
      <c r="H109" s="8" t="s">
        <v>637</v>
      </c>
      <c r="I109" s="8" t="s">
        <v>74</v>
      </c>
      <c r="J109" s="8" t="s">
        <v>74</v>
      </c>
      <c r="K109" s="8"/>
      <c r="L109" s="8"/>
      <c r="M109" s="8"/>
      <c r="N109" s="18">
        <v>-127768</v>
      </c>
      <c r="O109" s="8" t="s">
        <v>644</v>
      </c>
      <c r="P109" s="8" t="s">
        <v>76</v>
      </c>
      <c r="Q109" s="8" t="s">
        <v>645</v>
      </c>
      <c r="R109" s="8" t="s">
        <v>76</v>
      </c>
      <c r="S109" s="8" t="s">
        <v>76</v>
      </c>
      <c r="T109" s="8" t="s">
        <v>76</v>
      </c>
      <c r="U109" s="8" t="s">
        <v>76</v>
      </c>
      <c r="V109" s="8" t="s">
        <v>76</v>
      </c>
      <c r="W109" s="8" t="s">
        <v>76</v>
      </c>
      <c r="X109" s="8" t="s">
        <v>76</v>
      </c>
      <c r="Y109" s="8" t="s">
        <v>76</v>
      </c>
      <c r="Z109" s="8"/>
      <c r="AA109" s="8"/>
      <c r="AB109" s="8" t="s">
        <v>76</v>
      </c>
      <c r="AC109" s="8"/>
    </row>
    <row r="110" spans="1:29" ht="30" customHeight="1" thickTop="1" thickBot="1" x14ac:dyDescent="0.35">
      <c r="A110" s="8" t="s">
        <v>373</v>
      </c>
      <c r="B110" s="8"/>
      <c r="C110" s="8" t="s">
        <v>646</v>
      </c>
      <c r="D110" s="8" t="s">
        <v>734</v>
      </c>
      <c r="E110" s="8" t="s">
        <v>578</v>
      </c>
      <c r="F110" s="8" t="s">
        <v>201</v>
      </c>
      <c r="G110" s="8"/>
      <c r="H110" s="8" t="s">
        <v>637</v>
      </c>
      <c r="I110" s="8" t="s">
        <v>74</v>
      </c>
      <c r="J110" s="8" t="s">
        <v>74</v>
      </c>
      <c r="K110" s="8"/>
      <c r="L110" s="18">
        <f t="shared" ref="L110:L111" si="7">M110-N110</f>
        <v>1.3799999952316284</v>
      </c>
      <c r="M110" s="21">
        <f>VLOOKUP(D110,[1]CARTERA!$F:$K,6,0)</f>
        <v>557612357.38</v>
      </c>
      <c r="N110" s="21">
        <v>557612356</v>
      </c>
      <c r="O110" s="8" t="s">
        <v>649</v>
      </c>
      <c r="P110" s="8" t="s">
        <v>76</v>
      </c>
      <c r="Q110" s="8" t="s">
        <v>650</v>
      </c>
      <c r="R110" s="8" t="s">
        <v>76</v>
      </c>
      <c r="S110" s="8" t="s">
        <v>76</v>
      </c>
      <c r="T110" s="8" t="s">
        <v>76</v>
      </c>
      <c r="U110" s="8" t="s">
        <v>76</v>
      </c>
      <c r="V110" s="8" t="s">
        <v>76</v>
      </c>
      <c r="W110" s="8" t="s">
        <v>76</v>
      </c>
      <c r="X110" s="8" t="s">
        <v>76</v>
      </c>
      <c r="Y110" s="8" t="s">
        <v>76</v>
      </c>
      <c r="Z110" s="8"/>
      <c r="AA110" s="8"/>
      <c r="AB110" s="8" t="s">
        <v>76</v>
      </c>
      <c r="AC110" s="8"/>
    </row>
    <row r="111" spans="1:29" ht="30" customHeight="1" thickTop="1" thickBot="1" x14ac:dyDescent="0.35">
      <c r="A111" s="8" t="s">
        <v>373</v>
      </c>
      <c r="B111" s="8"/>
      <c r="C111" s="8" t="s">
        <v>651</v>
      </c>
      <c r="D111" s="8" t="s">
        <v>721</v>
      </c>
      <c r="E111" s="8" t="s">
        <v>653</v>
      </c>
      <c r="F111" s="8" t="s">
        <v>230</v>
      </c>
      <c r="G111" s="8"/>
      <c r="H111" s="8" t="s">
        <v>654</v>
      </c>
      <c r="I111" s="8" t="s">
        <v>74</v>
      </c>
      <c r="J111" s="8" t="s">
        <v>74</v>
      </c>
      <c r="K111" s="8"/>
      <c r="L111" s="18">
        <f t="shared" si="7"/>
        <v>0</v>
      </c>
      <c r="M111" s="21">
        <f>VLOOKUP(D111,[1]CARTERA!$F:$K,6,0)</f>
        <v>260981</v>
      </c>
      <c r="N111" s="21">
        <v>260981</v>
      </c>
      <c r="O111" s="8" t="s">
        <v>656</v>
      </c>
      <c r="P111" s="8" t="s">
        <v>76</v>
      </c>
      <c r="Q111" s="8" t="s">
        <v>657</v>
      </c>
      <c r="R111" s="8" t="s">
        <v>76</v>
      </c>
      <c r="S111" s="8" t="s">
        <v>76</v>
      </c>
      <c r="T111" s="8" t="s">
        <v>76</v>
      </c>
      <c r="U111" s="8" t="s">
        <v>76</v>
      </c>
      <c r="V111" s="8" t="s">
        <v>76</v>
      </c>
      <c r="W111" s="8" t="s">
        <v>76</v>
      </c>
      <c r="X111" s="8" t="s">
        <v>76</v>
      </c>
      <c r="Y111" s="8" t="s">
        <v>76</v>
      </c>
      <c r="Z111" s="8"/>
      <c r="AA111" s="8"/>
      <c r="AB111" s="8" t="s">
        <v>76</v>
      </c>
      <c r="AC111" s="8"/>
    </row>
    <row r="112" spans="1:29" ht="30" hidden="1" customHeight="1" thickTop="1" thickBot="1" x14ac:dyDescent="0.35">
      <c r="A112" s="8" t="s">
        <v>70</v>
      </c>
      <c r="B112" s="8"/>
      <c r="C112" s="8" t="s">
        <v>658</v>
      </c>
      <c r="D112" s="8" t="s">
        <v>659</v>
      </c>
      <c r="E112" s="8" t="s">
        <v>653</v>
      </c>
      <c r="F112" s="8" t="s">
        <v>230</v>
      </c>
      <c r="G112" s="8"/>
      <c r="H112" s="8" t="s">
        <v>660</v>
      </c>
      <c r="I112" s="8" t="s">
        <v>74</v>
      </c>
      <c r="J112" s="8" t="s">
        <v>74</v>
      </c>
      <c r="K112" s="8"/>
      <c r="L112" s="8"/>
      <c r="M112" s="8"/>
      <c r="N112" s="18">
        <v>-102628</v>
      </c>
      <c r="O112" s="8" t="s">
        <v>662</v>
      </c>
      <c r="P112" s="8" t="s">
        <v>76</v>
      </c>
      <c r="Q112" s="8" t="s">
        <v>663</v>
      </c>
      <c r="R112" s="8" t="s">
        <v>76</v>
      </c>
      <c r="S112" s="8" t="s">
        <v>76</v>
      </c>
      <c r="T112" s="8" t="s">
        <v>76</v>
      </c>
      <c r="U112" s="8" t="s">
        <v>76</v>
      </c>
      <c r="V112" s="8" t="s">
        <v>76</v>
      </c>
      <c r="W112" s="8" t="s">
        <v>76</v>
      </c>
      <c r="X112" s="8" t="s">
        <v>76</v>
      </c>
      <c r="Y112" s="8" t="s">
        <v>76</v>
      </c>
      <c r="Z112" s="8"/>
      <c r="AA112" s="8"/>
      <c r="AB112" s="8" t="s">
        <v>76</v>
      </c>
      <c r="AC112" s="8"/>
    </row>
    <row r="113" spans="1:29" ht="30" customHeight="1" thickTop="1" thickBot="1" x14ac:dyDescent="0.35">
      <c r="A113" s="8" t="s">
        <v>373</v>
      </c>
      <c r="B113" s="8"/>
      <c r="C113" s="8" t="s">
        <v>664</v>
      </c>
      <c r="D113" s="8" t="s">
        <v>735</v>
      </c>
      <c r="E113" s="8" t="s">
        <v>653</v>
      </c>
      <c r="F113" s="8" t="s">
        <v>230</v>
      </c>
      <c r="G113" s="8"/>
      <c r="H113" s="8" t="s">
        <v>660</v>
      </c>
      <c r="I113" s="8" t="s">
        <v>74</v>
      </c>
      <c r="J113" s="8" t="s">
        <v>74</v>
      </c>
      <c r="K113" s="8"/>
      <c r="L113" s="18">
        <f t="shared" ref="L113:L114" si="8">M113-N113</f>
        <v>1.4399999976158142</v>
      </c>
      <c r="M113" s="21">
        <f>VLOOKUP(D113,[1]CARTERA!$F:$K,6,0)</f>
        <v>35379113.439999998</v>
      </c>
      <c r="N113" s="21">
        <v>35379112</v>
      </c>
      <c r="O113" s="8" t="s">
        <v>667</v>
      </c>
      <c r="P113" s="8" t="s">
        <v>76</v>
      </c>
      <c r="Q113" s="8" t="s">
        <v>668</v>
      </c>
      <c r="R113" s="8" t="s">
        <v>76</v>
      </c>
      <c r="S113" s="8" t="s">
        <v>76</v>
      </c>
      <c r="T113" s="8" t="s">
        <v>76</v>
      </c>
      <c r="U113" s="8" t="s">
        <v>76</v>
      </c>
      <c r="V113" s="8" t="s">
        <v>76</v>
      </c>
      <c r="W113" s="8" t="s">
        <v>76</v>
      </c>
      <c r="X113" s="8" t="s">
        <v>76</v>
      </c>
      <c r="Y113" s="8" t="s">
        <v>76</v>
      </c>
      <c r="Z113" s="8"/>
      <c r="AA113" s="8"/>
      <c r="AB113" s="8" t="s">
        <v>76</v>
      </c>
      <c r="AC113" s="8"/>
    </row>
    <row r="114" spans="1:29" ht="30" customHeight="1" thickTop="1" thickBot="1" x14ac:dyDescent="0.35">
      <c r="A114" s="8" t="s">
        <v>373</v>
      </c>
      <c r="B114" s="8"/>
      <c r="C114" s="8" t="s">
        <v>669</v>
      </c>
      <c r="D114" s="8" t="s">
        <v>722</v>
      </c>
      <c r="E114" s="8" t="s">
        <v>653</v>
      </c>
      <c r="F114" s="8" t="s">
        <v>230</v>
      </c>
      <c r="G114" s="8"/>
      <c r="H114" s="8" t="s">
        <v>671</v>
      </c>
      <c r="I114" s="8" t="s">
        <v>74</v>
      </c>
      <c r="J114" s="8" t="s">
        <v>74</v>
      </c>
      <c r="K114" s="8"/>
      <c r="L114" s="18">
        <f t="shared" si="8"/>
        <v>1</v>
      </c>
      <c r="M114" s="21">
        <f>VLOOKUP(D114,[1]CARTERA!$F:$K,6,0)</f>
        <v>1311847</v>
      </c>
      <c r="N114" s="21">
        <v>1311846</v>
      </c>
      <c r="O114" s="8" t="s">
        <v>673</v>
      </c>
      <c r="P114" s="8" t="s">
        <v>76</v>
      </c>
      <c r="Q114" s="8" t="s">
        <v>674</v>
      </c>
      <c r="R114" s="8" t="s">
        <v>76</v>
      </c>
      <c r="S114" s="8" t="s">
        <v>76</v>
      </c>
      <c r="T114" s="8" t="s">
        <v>76</v>
      </c>
      <c r="U114" s="8" t="s">
        <v>76</v>
      </c>
      <c r="V114" s="8" t="s">
        <v>76</v>
      </c>
      <c r="W114" s="8" t="s">
        <v>76</v>
      </c>
      <c r="X114" s="8" t="s">
        <v>76</v>
      </c>
      <c r="Y114" s="8" t="s">
        <v>76</v>
      </c>
      <c r="Z114" s="8"/>
      <c r="AA114" s="8"/>
      <c r="AB114" s="8" t="s">
        <v>76</v>
      </c>
      <c r="AC114" s="8"/>
    </row>
    <row r="115" spans="1:29" ht="30" hidden="1" customHeight="1" thickTop="1" thickBot="1" x14ac:dyDescent="0.35">
      <c r="A115" s="8" t="s">
        <v>70</v>
      </c>
      <c r="B115" s="8"/>
      <c r="C115" s="8" t="s">
        <v>675</v>
      </c>
      <c r="D115" s="8" t="s">
        <v>676</v>
      </c>
      <c r="E115" s="8" t="s">
        <v>653</v>
      </c>
      <c r="F115" s="8" t="s">
        <v>230</v>
      </c>
      <c r="G115" s="8"/>
      <c r="H115" s="8" t="s">
        <v>677</v>
      </c>
      <c r="I115" s="8" t="s">
        <v>74</v>
      </c>
      <c r="J115" s="8" t="s">
        <v>74</v>
      </c>
      <c r="K115" s="8"/>
      <c r="L115" s="8"/>
      <c r="M115" s="8"/>
      <c r="N115" s="18">
        <v>-620386</v>
      </c>
      <c r="O115" s="8" t="s">
        <v>679</v>
      </c>
      <c r="P115" s="8" t="s">
        <v>76</v>
      </c>
      <c r="Q115" s="8" t="s">
        <v>680</v>
      </c>
      <c r="R115" s="8" t="s">
        <v>76</v>
      </c>
      <c r="S115" s="8" t="s">
        <v>76</v>
      </c>
      <c r="T115" s="8" t="s">
        <v>76</v>
      </c>
      <c r="U115" s="8" t="s">
        <v>76</v>
      </c>
      <c r="V115" s="8" t="s">
        <v>76</v>
      </c>
      <c r="W115" s="8" t="s">
        <v>76</v>
      </c>
      <c r="X115" s="8" t="s">
        <v>76</v>
      </c>
      <c r="Y115" s="8" t="s">
        <v>76</v>
      </c>
      <c r="Z115" s="8"/>
      <c r="AA115" s="8"/>
      <c r="AB115" s="8" t="s">
        <v>76</v>
      </c>
      <c r="AC115" s="8"/>
    </row>
    <row r="116" spans="1:29" ht="30" customHeight="1" thickTop="1" thickBot="1" x14ac:dyDescent="0.35">
      <c r="A116" s="8" t="s">
        <v>373</v>
      </c>
      <c r="B116" s="8"/>
      <c r="C116" s="8" t="s">
        <v>681</v>
      </c>
      <c r="D116" s="8" t="s">
        <v>736</v>
      </c>
      <c r="E116" s="8" t="s">
        <v>653</v>
      </c>
      <c r="F116" s="8" t="s">
        <v>230</v>
      </c>
      <c r="G116" s="8"/>
      <c r="H116" s="8" t="s">
        <v>677</v>
      </c>
      <c r="I116" s="8" t="s">
        <v>74</v>
      </c>
      <c r="J116" s="8" t="s">
        <v>74</v>
      </c>
      <c r="K116" s="8"/>
      <c r="L116" s="18">
        <f t="shared" ref="L116:L117" si="9">M116-N116</f>
        <v>1.5799999982118607</v>
      </c>
      <c r="M116" s="21">
        <f>VLOOKUP(D116,[1]CARTERA!$F:$K,6,0)</f>
        <v>114812601.58</v>
      </c>
      <c r="N116" s="21">
        <v>114812600</v>
      </c>
      <c r="O116" s="8" t="s">
        <v>684</v>
      </c>
      <c r="P116" s="8" t="s">
        <v>76</v>
      </c>
      <c r="Q116" s="8" t="s">
        <v>685</v>
      </c>
      <c r="R116" s="8" t="s">
        <v>76</v>
      </c>
      <c r="S116" s="8" t="s">
        <v>76</v>
      </c>
      <c r="T116" s="8" t="s">
        <v>76</v>
      </c>
      <c r="U116" s="8" t="s">
        <v>76</v>
      </c>
      <c r="V116" s="8" t="s">
        <v>76</v>
      </c>
      <c r="W116" s="8" t="s">
        <v>76</v>
      </c>
      <c r="X116" s="8" t="s">
        <v>76</v>
      </c>
      <c r="Y116" s="8" t="s">
        <v>76</v>
      </c>
      <c r="Z116" s="8"/>
      <c r="AA116" s="8"/>
      <c r="AB116" s="8" t="s">
        <v>76</v>
      </c>
      <c r="AC116" s="8"/>
    </row>
    <row r="117" spans="1:29" ht="30" customHeight="1" thickTop="1" thickBot="1" x14ac:dyDescent="0.35">
      <c r="A117" s="8" t="s">
        <v>373</v>
      </c>
      <c r="B117" s="8"/>
      <c r="C117" s="8" t="s">
        <v>686</v>
      </c>
      <c r="D117" s="8" t="s">
        <v>723</v>
      </c>
      <c r="E117" s="8" t="s">
        <v>653</v>
      </c>
      <c r="F117" s="8" t="s">
        <v>230</v>
      </c>
      <c r="G117" s="8"/>
      <c r="H117" s="8" t="s">
        <v>688</v>
      </c>
      <c r="I117" s="8" t="s">
        <v>74</v>
      </c>
      <c r="J117" s="8" t="s">
        <v>74</v>
      </c>
      <c r="K117" s="8"/>
      <c r="L117" s="18">
        <f t="shared" si="9"/>
        <v>32.439999997615814</v>
      </c>
      <c r="M117" s="21">
        <f>VLOOKUP(D117,[1]CARTERA!$F:$K,6,0)</f>
        <v>119283921.44</v>
      </c>
      <c r="N117" s="21">
        <v>119283889</v>
      </c>
      <c r="O117" s="8" t="s">
        <v>690</v>
      </c>
      <c r="P117" s="8" t="s">
        <v>76</v>
      </c>
      <c r="Q117" s="8" t="s">
        <v>691</v>
      </c>
      <c r="R117" s="8" t="s">
        <v>76</v>
      </c>
      <c r="S117" s="8" t="s">
        <v>76</v>
      </c>
      <c r="T117" s="8" t="s">
        <v>76</v>
      </c>
      <c r="U117" s="8" t="s">
        <v>76</v>
      </c>
      <c r="V117" s="8" t="s">
        <v>76</v>
      </c>
      <c r="W117" s="8" t="s">
        <v>76</v>
      </c>
      <c r="X117" s="8" t="s">
        <v>76</v>
      </c>
      <c r="Y117" s="8" t="s">
        <v>76</v>
      </c>
      <c r="Z117" s="8"/>
      <c r="AA117" s="8"/>
      <c r="AB117" s="8" t="s">
        <v>76</v>
      </c>
      <c r="AC117" s="8"/>
    </row>
    <row r="118" spans="1:29" ht="30" hidden="1" customHeight="1" thickTop="1" thickBot="1" x14ac:dyDescent="0.35">
      <c r="A118" s="9" t="s">
        <v>692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9">
        <v>2004624128</v>
      </c>
      <c r="O118" s="9" t="s">
        <v>694</v>
      </c>
      <c r="P118" s="9" t="s">
        <v>76</v>
      </c>
      <c r="Q118" s="9" t="s">
        <v>695</v>
      </c>
      <c r="R118" s="9" t="s">
        <v>76</v>
      </c>
      <c r="S118" s="9" t="s">
        <v>76</v>
      </c>
      <c r="T118" s="9" t="s">
        <v>696</v>
      </c>
      <c r="U118" s="9" t="s">
        <v>76</v>
      </c>
      <c r="V118" s="9" t="s">
        <v>76</v>
      </c>
      <c r="W118" s="9" t="s">
        <v>76</v>
      </c>
      <c r="X118" s="9" t="s">
        <v>76</v>
      </c>
      <c r="Y118" s="9" t="s">
        <v>76</v>
      </c>
      <c r="Z118" s="9"/>
      <c r="AA118" s="9"/>
      <c r="AB118" s="9"/>
      <c r="AC118" s="9"/>
    </row>
    <row r="119" spans="1:29" ht="15" thickTop="1" x14ac:dyDescent="0.3"/>
    <row r="120" spans="1:29" x14ac:dyDescent="0.3">
      <c r="N120" s="22">
        <f>SUBTOTAL(9,N1:N117)</f>
        <v>4084735266</v>
      </c>
    </row>
  </sheetData>
  <autoFilter ref="A1:AC118" xr:uid="{CC20F050-C27B-4EE6-94D8-BCA85F5B700E}">
    <filterColumn colId="0">
      <filters>
        <filter val="380"/>
      </filters>
    </filterColumn>
  </autoFilter>
  <pageMargins left="0" right="0" top="0" bottom="0" header="0" footer="0"/>
  <pageSetup orientation="landscape"/>
  <drawing r:id="rId1"/>
</worksheet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d9e10421-e96b-4da8-a644-f04271a</vt:lpstr>
      <vt:lpstr>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2025-09-23T13:39:35Z</dcterms:created>
  <dcterms:modified xsi:type="dcterms:W3CDTF">2025-09-23T14:13:58Z</dcterms:modified>
</cp:coreProperties>
</file>