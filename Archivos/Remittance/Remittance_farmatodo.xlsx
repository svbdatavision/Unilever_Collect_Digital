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.Moreno\OneDrive - Unilever\Desktop\"/>
    </mc:Choice>
  </mc:AlternateContent>
  <xr:revisionPtr revIDLastSave="0" documentId="8_{7B7BE000-4382-4426-B2FA-4537C333BF50}" xr6:coauthVersionLast="47" xr6:coauthVersionMax="47" xr10:uidLastSave="{00000000-0000-0000-0000-000000000000}"/>
  <bookViews>
    <workbookView xWindow="-110" yWindow="-110" windowWidth="19420" windowHeight="11500" xr2:uid="{591B3E77-5C04-4451-A3D3-B480B883E072}"/>
  </bookViews>
  <sheets>
    <sheet name="o17277106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3" l="1"/>
</calcChain>
</file>

<file path=xl/sharedStrings.xml><?xml version="1.0" encoding="utf-8"?>
<sst xmlns="http://schemas.openxmlformats.org/spreadsheetml/2006/main" count="62" uniqueCount="58">
  <si>
    <t>FARMATODO COLOMBIA, S.A.</t>
  </si>
  <si>
    <t>Nit  830129327-1</t>
  </si>
  <si>
    <r>
      <t xml:space="preserve">Presenta la siguiente notificación de Pago a: </t>
    </r>
    <r>
      <rPr>
        <b/>
        <sz val="14"/>
        <color rgb="FF000000"/>
        <rFont val="Times New Roman"/>
        <family val="1"/>
      </rPr>
      <t>UNILEVER ANDINA COLOMBIA LTDA</t>
    </r>
  </si>
  <si>
    <t>Banco</t>
  </si>
  <si>
    <t>Nro Pago</t>
  </si>
  <si>
    <t>Fecha Pago</t>
  </si>
  <si>
    <t>Monto Pago</t>
  </si>
  <si>
    <t>Moneda Pago</t>
  </si>
  <si>
    <t>PROSEGUR</t>
  </si>
  <si>
    <t>COP</t>
  </si>
  <si>
    <t>Nro Factura</t>
  </si>
  <si>
    <t>Fecha Factura</t>
  </si>
  <si>
    <t>Descripción</t>
  </si>
  <si>
    <t>Monto Factura Sin IVA</t>
  </si>
  <si>
    <t>Monto IVA</t>
  </si>
  <si>
    <t>Retención ICA</t>
  </si>
  <si>
    <t>Retención a la Fuente</t>
  </si>
  <si>
    <t>Descuento por Pronto Pago</t>
  </si>
  <si>
    <t>Retención IVA</t>
  </si>
  <si>
    <t>Monto Factura</t>
  </si>
  <si>
    <t>Total</t>
  </si>
  <si>
    <t xml:space="preserve">                     </t>
  </si>
  <si>
    <t>FV-XKZV26513</t>
  </si>
  <si>
    <t>FV-XKZV27008</t>
  </si>
  <si>
    <t>NC-DC04-755509</t>
  </si>
  <si>
    <t>NC-DC04-755511</t>
  </si>
  <si>
    <t>NC-DC04-755512</t>
  </si>
  <si>
    <t>NC-DC04-755513</t>
  </si>
  <si>
    <t>NC-DC04-755515</t>
  </si>
  <si>
    <t>NC-DC04-755517</t>
  </si>
  <si>
    <t>NC-DC04-755521</t>
  </si>
  <si>
    <t>NC-DC04-755523</t>
  </si>
  <si>
    <t>NC-DC04-755525</t>
  </si>
  <si>
    <t>NC100320204</t>
  </si>
  <si>
    <t>NCF-DC05-16088</t>
  </si>
  <si>
    <t>PMP1254823</t>
  </si>
  <si>
    <t>PMP1257523</t>
  </si>
  <si>
    <t>PMP1257525</t>
  </si>
  <si>
    <t>PMP1257526</t>
  </si>
  <si>
    <t>Acuerdo Fijo Mensual 01 7%� - MASIVOS/MISCELANEOS Exhibiciones Adicionales</t>
  </si>
  <si>
    <t>Cobro Descuento Apoyo Apertura mes de Junio-2025 Masivos Sucursal</t>
  </si>
  <si>
    <t>Liquidaciones Ventas Pos -Primera Compra Junio - Belleza y cuidado personal</t>
  </si>
  <si>
    <t>Liquidaciones ventas pos junio - Primaton</t>
  </si>
  <si>
    <t>Liquidaciones Ventas Pos -Descuento Feria 12 al 15 Junio - Belleza y cuidado personal</t>
  </si>
  <si>
    <t>Liquidaciones Ventas Pos -Combos Virtuales Junio - Belleza y cuidado personal</t>
  </si>
  <si>
    <t>Liquidaciones ventas pos junio - Folleto 23 a 5</t>
  </si>
  <si>
    <t>Liquidaciones ventas pos junio - Dcto Feria General</t>
  </si>
  <si>
    <t>Liquidaciones Ventas Pos -Folleto Quincenal 6 al 19 Junio - Belleza y cuidado personal</t>
  </si>
  <si>
    <t>Liquidaciones Ventas Pos -72 Horas 13 al 15 Junio - Belleza y cuidado personal</t>
  </si>
  <si>
    <t>NOTAS DE CREDITO POR DEVOLUCION 100320204</t>
  </si>
  <si>
    <t>Confidencial Acuerdo Fijo Mensual .4% 01-06-2025-30-06-20</t>
  </si>
  <si>
    <t>OC:14002465 UNILEVER ANDINA COLOMBIA LTDA</t>
  </si>
  <si>
    <t>OC:14002950 UNILEVER ANDINA COLOMBIA LTDA</t>
  </si>
  <si>
    <t>OC:14002954 UNILEVER ANDINA COLOMBIA LTDA</t>
  </si>
  <si>
    <t>OC:14004661 UNILEVER ANDINA COLOMBIA LTDA (DPP)</t>
  </si>
  <si>
    <t>NC-PMP1257523</t>
  </si>
  <si>
    <t>NC-PMP1257525</t>
  </si>
  <si>
    <t>NC-PMP1257526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</si>
</sst>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horizontal="right" vertical="top" wrapText="1"/>
    </xf>
    <xf numFmtId="0" fontId="18" fillId="34" borderId="10" xfId="0" applyFont="1" applyFill="1" applyBorder="1" applyAlignment="1">
      <alignment horizontal="center" vertical="top" wrapText="1"/>
    </xf>
    <xf numFmtId="0" fontId="19" fillId="33" borderId="14" xfId="0" applyFont="1" applyFill="1" applyBorder="1" applyAlignment="1">
      <alignment horizontal="center" vertical="top" wrapText="1"/>
    </xf>
    <xf numFmtId="0" fontId="19" fillId="33" borderId="16" xfId="0" applyFont="1" applyFill="1" applyBorder="1" applyAlignment="1">
      <alignment horizontal="center" vertical="top" wrapText="1"/>
    </xf>
    <xf numFmtId="15" fontId="18" fillId="34" borderId="10" xfId="0" applyNumberFormat="1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horizontal="left" vertical="top" wrapText="1" indent="1"/>
    </xf>
    <xf numFmtId="4" fontId="18" fillId="34" borderId="10" xfId="0" applyNumberFormat="1" applyFont="1" applyFill="1" applyBorder="1" applyAlignment="1">
      <alignment horizontal="right" vertical="top" wrapText="1" indent="1"/>
    </xf>
    <xf numFmtId="0" fontId="18" fillId="34" borderId="10" xfId="0" applyFont="1" applyFill="1" applyBorder="1" applyAlignment="1">
      <alignment horizontal="right" vertical="top" wrapText="1" indent="1"/>
    </xf>
    <xf numFmtId="0" fontId="19" fillId="33" borderId="14" xfId="0" applyFont="1" applyFill="1" applyBorder="1" applyAlignment="1">
      <alignment horizontal="center" vertical="top" wrapText="1"/>
    </xf>
    <xf numFmtId="0" fontId="19" fillId="33" borderId="16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18" fillId="34" borderId="14" xfId="0" applyFont="1" applyFill="1" applyBorder="1" applyAlignment="1">
      <alignment horizontal="center" vertical="top" wrapText="1"/>
    </xf>
    <xf numFmtId="0" fontId="18" fillId="34" borderId="15" xfId="0" applyFont="1" applyFill="1" applyBorder="1" applyAlignment="1">
      <alignment horizontal="center" vertical="top" wrapText="1"/>
    </xf>
    <xf numFmtId="0" fontId="18" fillId="0" borderId="0" xfId="0" applyFont="1" applyAlignment="1">
      <alignment horizontal="right" wrapText="1" indent="1"/>
    </xf>
    <xf numFmtId="0" fontId="0" fillId="0" borderId="0" xfId="0"/>
    <xf numFmtId="14" fontId="18" fillId="34" borderId="14" xfId="0" applyNumberFormat="1" applyFont="1" applyFill="1" applyBorder="1" applyAlignment="1">
      <alignment horizontal="center" vertical="top" wrapText="1"/>
    </xf>
    <xf numFmtId="0" fontId="18" fillId="34" borderId="17" xfId="0" applyFont="1" applyFill="1" applyBorder="1" applyAlignment="1">
      <alignment horizontal="center" vertical="top" wrapText="1"/>
    </xf>
    <xf numFmtId="14" fontId="18" fillId="34" borderId="15" xfId="0" applyNumberFormat="1" applyFont="1" applyFill="1" applyBorder="1" applyAlignment="1">
      <alignment horizontal="center" vertical="top" wrapText="1"/>
    </xf>
    <xf numFmtId="14" fontId="18" fillId="34" borderId="17" xfId="0" applyNumberFormat="1" applyFont="1" applyFill="1" applyBorder="1" applyAlignment="1">
      <alignment horizontal="center" vertical="top" wrapText="1"/>
    </xf>
    <xf numFmtId="4" fontId="18" fillId="34" borderId="14" xfId="0" applyNumberFormat="1" applyFont="1" applyFill="1" applyBorder="1" applyAlignment="1">
      <alignment horizontal="center" vertical="top" wrapText="1"/>
    </xf>
    <xf numFmtId="4" fontId="18" fillId="34" borderId="15" xfId="0" applyNumberFormat="1" applyFont="1" applyFill="1" applyBorder="1" applyAlignment="1">
      <alignment horizontal="center" vertical="top" wrapText="1"/>
    </xf>
    <xf numFmtId="4" fontId="18" fillId="34" borderId="17" xfId="0" applyNumberFormat="1" applyFont="1" applyFill="1" applyBorder="1" applyAlignment="1">
      <alignment horizontal="center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8506-CEA6-4EEE-A7BB-111A9CF742C0}">
  <dimension ref="A1:O29"/>
  <sheetViews>
    <sheetView showGridLines="0" tabSelected="1" zoomScale="55" zoomScaleNormal="55" workbookViewId="0">
      <selection activeCell="D37" sqref="D37"/>
    </sheetView>
  </sheetViews>
  <sheetFormatPr baseColWidth="10" defaultRowHeight="14.5" x14ac:dyDescent="0.35"/>
  <cols>
    <col min="1" max="1" width="12.1796875" customWidth="1"/>
    <col min="2" max="2" width="14.08984375" customWidth="1"/>
    <col min="3" max="3" width="13.7265625" customWidth="1"/>
    <col min="4" max="4" width="16.453125" customWidth="1"/>
    <col min="5" max="5" width="13.90625" customWidth="1"/>
    <col min="6" max="6" width="17.90625" customWidth="1"/>
    <col min="7" max="7" width="14.7265625" customWidth="1"/>
    <col min="8" max="8" width="44.54296875" customWidth="1"/>
    <col min="9" max="9" width="23.6328125" customWidth="1"/>
    <col min="10" max="10" width="14.7265625" customWidth="1"/>
    <col min="11" max="11" width="14.90625" customWidth="1"/>
    <col min="12" max="12" width="21.7265625" customWidth="1"/>
    <col min="13" max="13" width="27.1796875" customWidth="1"/>
    <col min="14" max="14" width="14.90625" customWidth="1"/>
    <col min="15" max="15" width="16.36328125" customWidth="1"/>
  </cols>
  <sheetData>
    <row r="1" spans="1:15" ht="15.5" x14ac:dyDescent="0.35">
      <c r="A1" s="1" t="s">
        <v>0</v>
      </c>
    </row>
    <row r="3" spans="1:15" ht="15.5" x14ac:dyDescent="0.35">
      <c r="A3" s="1" t="s">
        <v>1</v>
      </c>
    </row>
    <row r="4" spans="1:15" ht="18" x14ac:dyDescent="0.4">
      <c r="A4" s="2" t="s">
        <v>2</v>
      </c>
    </row>
    <row r="6" spans="1:15" ht="16.649999999999999" customHeight="1" x14ac:dyDescent="0.35">
      <c r="A6" s="3" t="s">
        <v>3</v>
      </c>
      <c r="B6" s="3" t="s">
        <v>4</v>
      </c>
      <c r="C6" s="3" t="s">
        <v>5</v>
      </c>
      <c r="D6" s="4" t="s">
        <v>6</v>
      </c>
      <c r="E6" s="3" t="s">
        <v>7</v>
      </c>
      <c r="F6" s="14"/>
      <c r="G6" s="15"/>
      <c r="H6" s="15"/>
      <c r="I6" s="15"/>
      <c r="J6" s="15"/>
      <c r="K6" s="15"/>
      <c r="L6" s="15"/>
      <c r="M6" s="15"/>
      <c r="N6" s="15"/>
      <c r="O6" s="16"/>
    </row>
    <row r="7" spans="1:15" ht="15.65" customHeight="1" x14ac:dyDescent="0.35">
      <c r="A7" s="17" t="s">
        <v>8</v>
      </c>
      <c r="B7" s="17">
        <v>10000061418</v>
      </c>
      <c r="C7" s="21">
        <v>45866</v>
      </c>
      <c r="D7" s="25">
        <v>44415234</v>
      </c>
      <c r="E7" s="17" t="s">
        <v>9</v>
      </c>
      <c r="F7" s="12" t="s">
        <v>10</v>
      </c>
      <c r="G7" s="12" t="s">
        <v>11</v>
      </c>
      <c r="H7" s="12" t="s">
        <v>12</v>
      </c>
      <c r="I7" s="12" t="s">
        <v>13</v>
      </c>
      <c r="J7" s="12" t="s">
        <v>14</v>
      </c>
      <c r="K7" s="12" t="s">
        <v>15</v>
      </c>
      <c r="L7" s="12" t="s">
        <v>16</v>
      </c>
      <c r="M7" s="12" t="s">
        <v>17</v>
      </c>
      <c r="N7" s="12" t="s">
        <v>18</v>
      </c>
      <c r="O7" s="6" t="s">
        <v>19</v>
      </c>
    </row>
    <row r="8" spans="1:15" ht="15.65" customHeight="1" x14ac:dyDescent="0.35">
      <c r="A8" s="18"/>
      <c r="B8" s="18"/>
      <c r="C8" s="23"/>
      <c r="D8" s="26"/>
      <c r="E8" s="18"/>
      <c r="F8" s="13"/>
      <c r="G8" s="13"/>
      <c r="H8" s="13"/>
      <c r="I8" s="13"/>
      <c r="J8" s="13"/>
      <c r="K8" s="13"/>
      <c r="L8" s="13"/>
      <c r="M8" s="13"/>
      <c r="N8" s="13"/>
      <c r="O8" s="7" t="s">
        <v>20</v>
      </c>
    </row>
    <row r="9" spans="1:15" ht="15.65" customHeight="1" x14ac:dyDescent="0.35">
      <c r="A9" s="18"/>
      <c r="B9" s="18"/>
      <c r="C9" s="23"/>
      <c r="D9" s="26"/>
      <c r="E9" s="18"/>
      <c r="F9" s="5" t="s">
        <v>22</v>
      </c>
      <c r="G9" s="8">
        <v>45842</v>
      </c>
      <c r="H9" s="9" t="s">
        <v>39</v>
      </c>
      <c r="I9" s="10">
        <v>-811023.46</v>
      </c>
      <c r="J9" s="10">
        <v>0</v>
      </c>
      <c r="K9" s="11">
        <v>0</v>
      </c>
      <c r="L9" s="11">
        <v>0</v>
      </c>
      <c r="M9" s="11">
        <v>0</v>
      </c>
      <c r="N9" s="11">
        <v>0</v>
      </c>
      <c r="O9" s="10">
        <v>-811023.46</v>
      </c>
    </row>
    <row r="10" spans="1:15" ht="15.65" customHeight="1" x14ac:dyDescent="0.35">
      <c r="A10" s="18"/>
      <c r="B10" s="18"/>
      <c r="C10" s="23"/>
      <c r="D10" s="26"/>
      <c r="E10" s="18"/>
      <c r="F10" s="5" t="s">
        <v>23</v>
      </c>
      <c r="G10" s="8">
        <v>45842</v>
      </c>
      <c r="H10" s="9" t="s">
        <v>40</v>
      </c>
      <c r="I10" s="11">
        <v>-15470000</v>
      </c>
      <c r="J10" s="11">
        <v>0</v>
      </c>
      <c r="K10" s="11">
        <v>0</v>
      </c>
      <c r="L10" s="11">
        <v>0</v>
      </c>
      <c r="M10" s="10">
        <v>0</v>
      </c>
      <c r="N10" s="11">
        <v>0</v>
      </c>
      <c r="O10" s="10">
        <v>-15470000</v>
      </c>
    </row>
    <row r="11" spans="1:15" ht="15.65" customHeight="1" x14ac:dyDescent="0.35">
      <c r="A11" s="18"/>
      <c r="B11" s="18"/>
      <c r="C11" s="23"/>
      <c r="D11" s="26"/>
      <c r="E11" s="18"/>
      <c r="F11" s="5" t="s">
        <v>24</v>
      </c>
      <c r="G11" s="8">
        <v>45842</v>
      </c>
      <c r="H11" s="9" t="s">
        <v>41</v>
      </c>
      <c r="I11" s="11">
        <v>-36331344.799999997</v>
      </c>
      <c r="J11" s="11">
        <v>0</v>
      </c>
      <c r="K11" s="11">
        <v>0</v>
      </c>
      <c r="L11" s="11">
        <v>0</v>
      </c>
      <c r="M11" s="10">
        <v>0</v>
      </c>
      <c r="N11" s="11">
        <v>0</v>
      </c>
      <c r="O11" s="10">
        <v>-36331344.799999997</v>
      </c>
    </row>
    <row r="12" spans="1:15" ht="15.65" customHeight="1" x14ac:dyDescent="0.35">
      <c r="A12" s="18"/>
      <c r="B12" s="18"/>
      <c r="C12" s="23"/>
      <c r="D12" s="26"/>
      <c r="E12" s="18"/>
      <c r="F12" s="5" t="s">
        <v>25</v>
      </c>
      <c r="G12" s="8">
        <v>45842</v>
      </c>
      <c r="H12" s="9" t="s">
        <v>42</v>
      </c>
      <c r="I12" s="10">
        <v>-15374384.449999999</v>
      </c>
      <c r="J12" s="10">
        <v>0</v>
      </c>
      <c r="K12" s="11">
        <v>0</v>
      </c>
      <c r="L12" s="11">
        <v>0</v>
      </c>
      <c r="M12" s="11">
        <v>0</v>
      </c>
      <c r="N12" s="11">
        <v>0</v>
      </c>
      <c r="O12" s="10">
        <v>-15374384.449999999</v>
      </c>
    </row>
    <row r="13" spans="1:15" ht="15.65" customHeight="1" x14ac:dyDescent="0.35">
      <c r="A13" s="18"/>
      <c r="B13" s="18"/>
      <c r="C13" s="23"/>
      <c r="D13" s="26"/>
      <c r="E13" s="18"/>
      <c r="F13" s="5" t="s">
        <v>26</v>
      </c>
      <c r="G13" s="8">
        <v>45842</v>
      </c>
      <c r="H13" s="9" t="s">
        <v>43</v>
      </c>
      <c r="I13" s="10">
        <v>-13029314.1</v>
      </c>
      <c r="J13" s="10">
        <v>0</v>
      </c>
      <c r="K13" s="11">
        <v>0</v>
      </c>
      <c r="L13" s="11">
        <v>0</v>
      </c>
      <c r="M13" s="11">
        <v>0</v>
      </c>
      <c r="N13" s="11">
        <v>0</v>
      </c>
      <c r="O13" s="10">
        <v>-13029314.1</v>
      </c>
    </row>
    <row r="14" spans="1:15" ht="15.65" customHeight="1" x14ac:dyDescent="0.35">
      <c r="A14" s="18"/>
      <c r="B14" s="18"/>
      <c r="C14" s="23"/>
      <c r="D14" s="26"/>
      <c r="E14" s="18"/>
      <c r="F14" s="5" t="s">
        <v>27</v>
      </c>
      <c r="G14" s="8">
        <v>45842</v>
      </c>
      <c r="H14" s="9" t="s">
        <v>44</v>
      </c>
      <c r="I14" s="10">
        <v>-8138292.1200000001</v>
      </c>
      <c r="J14" s="10">
        <v>0</v>
      </c>
      <c r="K14" s="11">
        <v>0</v>
      </c>
      <c r="L14" s="11">
        <v>0</v>
      </c>
      <c r="M14" s="10">
        <v>0</v>
      </c>
      <c r="N14" s="11">
        <v>0</v>
      </c>
      <c r="O14" s="10">
        <v>-8138292.1200000001</v>
      </c>
    </row>
    <row r="15" spans="1:15" ht="15.65" customHeight="1" x14ac:dyDescent="0.35">
      <c r="A15" s="18"/>
      <c r="B15" s="18"/>
      <c r="C15" s="23"/>
      <c r="D15" s="26"/>
      <c r="E15" s="18"/>
      <c r="F15" s="5" t="s">
        <v>28</v>
      </c>
      <c r="G15" s="8">
        <v>45842</v>
      </c>
      <c r="H15" s="9" t="s">
        <v>45</v>
      </c>
      <c r="I15" s="10">
        <v>-1563430</v>
      </c>
      <c r="J15" s="10">
        <v>0</v>
      </c>
      <c r="K15" s="11">
        <v>0</v>
      </c>
      <c r="L15" s="11">
        <v>0</v>
      </c>
      <c r="M15" s="10">
        <v>0</v>
      </c>
      <c r="N15" s="11">
        <v>0</v>
      </c>
      <c r="O15" s="10">
        <v>-1563430</v>
      </c>
    </row>
    <row r="16" spans="1:15" ht="15.65" customHeight="1" x14ac:dyDescent="0.35">
      <c r="A16" s="18"/>
      <c r="B16" s="18"/>
      <c r="C16" s="23"/>
      <c r="D16" s="26"/>
      <c r="E16" s="18"/>
      <c r="F16" s="5" t="s">
        <v>29</v>
      </c>
      <c r="G16" s="8">
        <v>45842</v>
      </c>
      <c r="H16" s="9" t="s">
        <v>46</v>
      </c>
      <c r="I16" s="10">
        <v>-964465.5</v>
      </c>
      <c r="J16" s="10">
        <v>0</v>
      </c>
      <c r="K16" s="11">
        <v>0</v>
      </c>
      <c r="L16" s="11">
        <v>0</v>
      </c>
      <c r="M16" s="11">
        <v>0</v>
      </c>
      <c r="N16" s="11">
        <v>0</v>
      </c>
      <c r="O16" s="10">
        <v>-964465.5</v>
      </c>
    </row>
    <row r="17" spans="1:15" ht="15.65" customHeight="1" x14ac:dyDescent="0.35">
      <c r="A17" s="18"/>
      <c r="B17" s="18"/>
      <c r="C17" s="23"/>
      <c r="D17" s="26"/>
      <c r="E17" s="18"/>
      <c r="F17" s="5" t="s">
        <v>30</v>
      </c>
      <c r="G17" s="8">
        <v>45842</v>
      </c>
      <c r="H17" s="9" t="s">
        <v>47</v>
      </c>
      <c r="I17" s="10">
        <v>-2473742.2999999998</v>
      </c>
      <c r="J17" s="10">
        <v>0</v>
      </c>
      <c r="K17" s="11">
        <v>0</v>
      </c>
      <c r="L17" s="11">
        <v>0</v>
      </c>
      <c r="M17" s="10">
        <v>0</v>
      </c>
      <c r="N17" s="11">
        <v>0</v>
      </c>
      <c r="O17" s="10">
        <v>-2473742.2999999998</v>
      </c>
    </row>
    <row r="18" spans="1:15" ht="15.65" customHeight="1" x14ac:dyDescent="0.35">
      <c r="A18" s="18"/>
      <c r="B18" s="18"/>
      <c r="C18" s="23"/>
      <c r="D18" s="26"/>
      <c r="E18" s="18"/>
      <c r="F18" s="5" t="s">
        <v>31</v>
      </c>
      <c r="G18" s="8">
        <v>45842</v>
      </c>
      <c r="H18" s="9" t="s">
        <v>48</v>
      </c>
      <c r="I18" s="10">
        <v>-1183970.05</v>
      </c>
      <c r="J18" s="10">
        <v>0</v>
      </c>
      <c r="K18" s="11">
        <v>0</v>
      </c>
      <c r="L18" s="11">
        <v>0</v>
      </c>
      <c r="M18" s="11">
        <v>0</v>
      </c>
      <c r="N18" s="11">
        <v>0</v>
      </c>
      <c r="O18" s="10">
        <v>-1183970.05</v>
      </c>
    </row>
    <row r="19" spans="1:15" ht="15.65" customHeight="1" x14ac:dyDescent="0.35">
      <c r="A19" s="18"/>
      <c r="B19" s="18"/>
      <c r="C19" s="23"/>
      <c r="D19" s="26"/>
      <c r="E19" s="18"/>
      <c r="F19" s="5" t="s">
        <v>32</v>
      </c>
      <c r="G19" s="8">
        <v>45842</v>
      </c>
      <c r="H19" s="9" t="s">
        <v>41</v>
      </c>
      <c r="I19" s="10">
        <v>-165487</v>
      </c>
      <c r="J19" s="10">
        <v>0</v>
      </c>
      <c r="K19" s="11">
        <v>0</v>
      </c>
      <c r="L19" s="11">
        <v>0</v>
      </c>
      <c r="M19" s="10">
        <v>0</v>
      </c>
      <c r="N19" s="11">
        <v>0</v>
      </c>
      <c r="O19" s="10">
        <v>-165487</v>
      </c>
    </row>
    <row r="20" spans="1:15" ht="15.65" customHeight="1" x14ac:dyDescent="0.35">
      <c r="A20" s="18"/>
      <c r="B20" s="18"/>
      <c r="C20" s="23"/>
      <c r="D20" s="26"/>
      <c r="E20" s="18"/>
      <c r="F20" s="5" t="s">
        <v>33</v>
      </c>
      <c r="G20" s="8">
        <v>45859</v>
      </c>
      <c r="H20" s="9" t="s">
        <v>49</v>
      </c>
      <c r="I20" s="10">
        <v>-1250194.6299999999</v>
      </c>
      <c r="J20" s="10">
        <v>-237536.98</v>
      </c>
      <c r="K20" s="11">
        <v>0</v>
      </c>
      <c r="L20" s="11">
        <v>0</v>
      </c>
      <c r="M20" s="11">
        <v>0</v>
      </c>
      <c r="N20" s="11">
        <v>0</v>
      </c>
      <c r="O20" s="10">
        <v>-1487731.61</v>
      </c>
    </row>
    <row r="21" spans="1:15" ht="15.65" customHeight="1" x14ac:dyDescent="0.35">
      <c r="A21" s="18"/>
      <c r="B21" s="18"/>
      <c r="C21" s="23"/>
      <c r="D21" s="26"/>
      <c r="E21" s="18"/>
      <c r="F21" s="5" t="s">
        <v>34</v>
      </c>
      <c r="G21" s="8">
        <v>45840</v>
      </c>
      <c r="H21" s="9" t="s">
        <v>50</v>
      </c>
      <c r="I21" s="10">
        <v>-13948980.1</v>
      </c>
      <c r="J21" s="10">
        <v>0</v>
      </c>
      <c r="K21" s="11">
        <v>0</v>
      </c>
      <c r="L21" s="11">
        <v>0</v>
      </c>
      <c r="M21" s="11">
        <v>0</v>
      </c>
      <c r="N21" s="11">
        <v>0</v>
      </c>
      <c r="O21" s="10">
        <v>-13948980.1</v>
      </c>
    </row>
    <row r="22" spans="1:15" ht="15.65" customHeight="1" x14ac:dyDescent="0.35">
      <c r="A22" s="18"/>
      <c r="B22" s="18"/>
      <c r="C22" s="23"/>
      <c r="D22" s="26"/>
      <c r="E22" s="18"/>
      <c r="F22" s="5" t="s">
        <v>35</v>
      </c>
      <c r="G22" s="8">
        <v>45830</v>
      </c>
      <c r="H22" s="9" t="s">
        <v>51</v>
      </c>
      <c r="I22" s="10">
        <v>101600994.42</v>
      </c>
      <c r="J22" s="10">
        <v>19304188.940000001</v>
      </c>
      <c r="K22" s="11">
        <v>0</v>
      </c>
      <c r="L22" s="11">
        <v>0</v>
      </c>
      <c r="M22" s="10">
        <v>0</v>
      </c>
      <c r="N22" s="11">
        <v>0</v>
      </c>
      <c r="O22" s="10">
        <v>120905183.36</v>
      </c>
    </row>
    <row r="23" spans="1:15" ht="15.65" customHeight="1" x14ac:dyDescent="0.35">
      <c r="A23" s="18"/>
      <c r="B23" s="18"/>
      <c r="C23" s="23"/>
      <c r="D23" s="26"/>
      <c r="E23" s="18"/>
      <c r="F23" s="5" t="s">
        <v>36</v>
      </c>
      <c r="G23" s="8">
        <v>45837</v>
      </c>
      <c r="H23" s="9" t="s">
        <v>52</v>
      </c>
      <c r="I23" s="10">
        <v>18524835.52</v>
      </c>
      <c r="J23" s="10">
        <v>3519718.75</v>
      </c>
      <c r="K23" s="11">
        <v>0</v>
      </c>
      <c r="L23" s="11">
        <v>0</v>
      </c>
      <c r="M23" s="10"/>
      <c r="N23" s="11">
        <v>0</v>
      </c>
      <c r="O23" s="10">
        <f>+I23+J23</f>
        <v>22044554.27</v>
      </c>
    </row>
    <row r="24" spans="1:15" ht="15.65" customHeight="1" x14ac:dyDescent="0.35">
      <c r="A24" s="18"/>
      <c r="B24" s="18"/>
      <c r="C24" s="23"/>
      <c r="D24" s="26"/>
      <c r="E24" s="18"/>
      <c r="F24" s="5" t="s">
        <v>55</v>
      </c>
      <c r="G24" s="8">
        <v>45837</v>
      </c>
      <c r="H24" s="9" t="s">
        <v>54</v>
      </c>
      <c r="I24" s="10">
        <v>0</v>
      </c>
      <c r="J24" s="10">
        <v>0</v>
      </c>
      <c r="K24" s="11">
        <v>0</v>
      </c>
      <c r="L24" s="11">
        <v>0</v>
      </c>
      <c r="M24" s="10">
        <v>-370496.710420168</v>
      </c>
      <c r="N24" s="11">
        <v>0</v>
      </c>
      <c r="O24" s="10">
        <v>-370496.710420168</v>
      </c>
    </row>
    <row r="25" spans="1:15" ht="15.65" customHeight="1" x14ac:dyDescent="0.35">
      <c r="A25" s="18"/>
      <c r="B25" s="18"/>
      <c r="C25" s="23"/>
      <c r="D25" s="26"/>
      <c r="E25" s="18"/>
      <c r="F25" s="5" t="s">
        <v>37</v>
      </c>
      <c r="G25" s="8">
        <v>45837</v>
      </c>
      <c r="H25" s="9" t="s">
        <v>53</v>
      </c>
      <c r="I25" s="10">
        <v>3414076.44</v>
      </c>
      <c r="J25" s="10">
        <v>648674.52</v>
      </c>
      <c r="K25" s="11">
        <v>0</v>
      </c>
      <c r="L25" s="11">
        <v>0</v>
      </c>
      <c r="M25" s="11"/>
      <c r="N25" s="11">
        <v>0</v>
      </c>
      <c r="O25" s="10">
        <v>4062750.96</v>
      </c>
    </row>
    <row r="26" spans="1:15" ht="15.65" customHeight="1" x14ac:dyDescent="0.35">
      <c r="A26" s="18"/>
      <c r="B26" s="18"/>
      <c r="C26" s="23"/>
      <c r="D26" s="26"/>
      <c r="E26" s="18"/>
      <c r="F26" s="5" t="s">
        <v>56</v>
      </c>
      <c r="G26" s="8">
        <v>45837</v>
      </c>
      <c r="H26" s="9" t="s">
        <v>54</v>
      </c>
      <c r="I26" s="10">
        <v>0</v>
      </c>
      <c r="J26" s="10">
        <v>0</v>
      </c>
      <c r="K26" s="11">
        <v>0</v>
      </c>
      <c r="L26" s="11">
        <v>0</v>
      </c>
      <c r="M26" s="11">
        <v>-68281.5287394958</v>
      </c>
      <c r="N26" s="11">
        <v>0</v>
      </c>
      <c r="O26" s="10">
        <v>-68281.5287394958</v>
      </c>
    </row>
    <row r="27" spans="1:15" ht="15.65" customHeight="1" x14ac:dyDescent="0.35">
      <c r="A27" s="18"/>
      <c r="B27" s="18"/>
      <c r="C27" s="23"/>
      <c r="D27" s="26"/>
      <c r="E27" s="18"/>
      <c r="F27" s="5" t="s">
        <v>38</v>
      </c>
      <c r="G27" s="8">
        <v>45837</v>
      </c>
      <c r="H27" s="9" t="s">
        <v>52</v>
      </c>
      <c r="I27" s="10">
        <v>7507426.3200000003</v>
      </c>
      <c r="J27" s="10">
        <v>1426411</v>
      </c>
      <c r="K27" s="11">
        <v>0</v>
      </c>
      <c r="L27" s="11">
        <v>0</v>
      </c>
      <c r="M27" s="11"/>
      <c r="N27" s="11">
        <v>0</v>
      </c>
      <c r="O27" s="10">
        <v>8933837.3200000003</v>
      </c>
    </row>
    <row r="28" spans="1:15" ht="15.65" customHeight="1" x14ac:dyDescent="0.35">
      <c r="A28" s="22"/>
      <c r="B28" s="22"/>
      <c r="C28" s="24"/>
      <c r="D28" s="27"/>
      <c r="E28" s="22"/>
      <c r="F28" s="5" t="s">
        <v>57</v>
      </c>
      <c r="G28" s="8">
        <v>45837</v>
      </c>
      <c r="H28" s="9" t="s">
        <v>54</v>
      </c>
      <c r="I28" s="10">
        <v>0</v>
      </c>
      <c r="J28" s="10">
        <v>0</v>
      </c>
      <c r="K28" s="11">
        <v>0</v>
      </c>
      <c r="L28" s="11">
        <v>0</v>
      </c>
      <c r="M28" s="11">
        <v>-150148.52638655499</v>
      </c>
      <c r="N28" s="11">
        <v>0</v>
      </c>
      <c r="O28" s="10">
        <v>-150148.52638655499</v>
      </c>
    </row>
    <row r="29" spans="1:15" ht="15.5" customHeight="1" x14ac:dyDescent="0.35">
      <c r="A29" s="19" t="s">
        <v>21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</sheetData>
  <mergeCells count="16">
    <mergeCell ref="E7:E28"/>
    <mergeCell ref="J7:J8"/>
    <mergeCell ref="K7:K8"/>
    <mergeCell ref="L7:L8"/>
    <mergeCell ref="M7:M8"/>
    <mergeCell ref="N7:N8"/>
    <mergeCell ref="A29:O29"/>
    <mergeCell ref="A7:A28"/>
    <mergeCell ref="B7:B28"/>
    <mergeCell ref="C7:C28"/>
    <mergeCell ref="D7:D28"/>
    <mergeCell ref="F6:O6"/>
    <mergeCell ref="F7:F8"/>
    <mergeCell ref="G7:G8"/>
    <mergeCell ref="H7:H8"/>
    <mergeCell ref="I7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o17277106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Farmatodo C</dc:title>
  <cp:lastModifiedBy>Moreno, Rafael</cp:lastModifiedBy>
  <dcterms:created xsi:type="dcterms:W3CDTF">2025-08-22T17:57:41Z</dcterms:created>
  <dcterms:modified xsi:type="dcterms:W3CDTF">2025-08-22T17:57:41Z</dcterms:modified>
</cp:coreProperties>
</file>