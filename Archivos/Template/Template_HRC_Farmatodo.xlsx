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  <sheet name="Remitt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8">
    <font>
      <name val="Calibri"/>
      <family val="2"/>
      <color theme="1"/>
      <sz val="11"/>
      <scheme val="minor"/>
    </font>
    <font>
      <b val="1"/>
    </font>
    <font>
      <color rgb="00FFFFFF"/>
    </font>
    <font>
      <color rgb="00000000"/>
    </font>
    <font>
      <name val="Times New Roman"/>
      <family val="1"/>
      <b val="1"/>
      <color rgb="FF000000"/>
      <sz val="12"/>
    </font>
    <font>
      <name val="Times New Roman"/>
      <family val="1"/>
      <color rgb="FF000000"/>
      <sz val="14"/>
    </font>
    <font>
      <name val="Aptos Narrow"/>
      <family val="2"/>
      <color theme="1"/>
      <sz val="11"/>
      <scheme val="minor"/>
    </font>
    <font>
      <name val="Times New Roman"/>
      <family val="1"/>
      <color rgb="FF000000"/>
      <sz val="12"/>
    </font>
  </fonts>
  <fills count="7">
    <fill>
      <patternFill/>
    </fill>
    <fill>
      <patternFill patternType="gray125"/>
    </fill>
    <fill>
      <patternFill patternType="solid">
        <fgColor rgb="00002366"/>
        <bgColor rgb="00002366"/>
      </patternFill>
    </fill>
    <fill>
      <patternFill patternType="solid">
        <fgColor rgb="001E90FF"/>
        <bgColor rgb="001E90FF"/>
      </patternFill>
    </fill>
    <fill>
      <patternFill patternType="solid">
        <fgColor rgb="00FFFF00"/>
        <bgColor rgb="00FFFF00"/>
      </patternFill>
    </fill>
    <fill>
      <patternFill patternType="solid">
        <fgColor rgb="FFE7F3FD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4" borderId="0" pivotButton="0" quotePrefix="0" xfId="0"/>
    <xf numFmtId="0" fontId="2" fillId="3" borderId="0" pivotButton="0" quotePrefix="0" xfId="0"/>
    <xf numFmtId="164" fontId="0" fillId="0" borderId="0" pivotButton="0" quotePrefix="0" xfId="0"/>
    <xf numFmtId="49" fontId="2" fillId="2" borderId="1" applyAlignment="1" pivotButton="0" quotePrefix="0" xfId="0">
      <alignment horizontal="center" vertical="center"/>
    </xf>
    <xf numFmtId="4" fontId="2" fillId="2" borderId="1" applyAlignment="1" pivotButton="0" quotePrefix="0" xfId="0">
      <alignment horizontal="center" vertical="top"/>
    </xf>
    <xf numFmtId="49" fontId="2" fillId="2" borderId="1" applyAlignment="1" pivotButton="0" quotePrefix="0" xfId="0">
      <alignment horizontal="center" vertical="top"/>
    </xf>
    <xf numFmtId="49" fontId="0" fillId="0" borderId="0" applyAlignment="1" pivotButton="0" quotePrefix="0" xfId="0">
      <alignment horizontal="center" vertical="center"/>
    </xf>
    <xf numFmtId="4" fontId="0" fillId="0" borderId="0" pivotButton="0" quotePrefix="0" xfId="0"/>
    <xf numFmtId="49" fontId="0" fillId="0" borderId="0" pivotButton="0" quotePrefix="0" xfId="0"/>
    <xf numFmtId="0" fontId="4" fillId="0" borderId="0" applyAlignment="1" pivotButton="0" quotePrefix="0" xfId="0">
      <alignment horizontal="left" indent="1"/>
    </xf>
    <xf numFmtId="0" fontId="5" fillId="0" borderId="0" applyAlignment="1" pivotButton="0" quotePrefix="0" xfId="0">
      <alignment horizontal="left" indent="1"/>
    </xf>
    <xf numFmtId="0" fontId="4" fillId="5" borderId="2" applyAlignment="1" pivotButton="0" quotePrefix="0" xfId="0">
      <alignment horizontal="center" vertical="top" wrapText="1"/>
    </xf>
    <xf numFmtId="0" fontId="4" fillId="5" borderId="2" applyAlignment="1" pivotButton="0" quotePrefix="0" xfId="0">
      <alignment horizontal="right" vertical="top" wrapText="1"/>
    </xf>
    <xf numFmtId="0" fontId="6" fillId="5" borderId="2" applyAlignment="1" pivotButton="0" quotePrefix="0" xfId="0">
      <alignment vertical="top" wrapText="1"/>
    </xf>
    <xf numFmtId="0" fontId="6" fillId="0" borderId="3" pivotButton="0" quotePrefix="0" xfId="0"/>
    <xf numFmtId="0" fontId="6" fillId="0" borderId="4" pivotButton="0" quotePrefix="0" xfId="0"/>
    <xf numFmtId="0" fontId="7" fillId="6" borderId="5" applyAlignment="1" pivotButton="0" quotePrefix="0" xfId="0">
      <alignment horizontal="center" vertical="top" wrapText="1"/>
    </xf>
    <xf numFmtId="14" fontId="7" fillId="6" borderId="5" applyAlignment="1" pivotButton="0" quotePrefix="0" xfId="0">
      <alignment horizontal="center" vertical="top" wrapText="1"/>
    </xf>
    <xf numFmtId="4" fontId="7" fillId="6" borderId="5" applyAlignment="1" pivotButton="0" quotePrefix="0" xfId="0">
      <alignment horizontal="center" vertical="top" wrapText="1"/>
    </xf>
    <xf numFmtId="0" fontId="4" fillId="5" borderId="6" applyAlignment="1" pivotButton="0" quotePrefix="0" xfId="0">
      <alignment horizontal="center" vertical="top" wrapText="1"/>
    </xf>
    <xf numFmtId="0" fontId="6" fillId="0" borderId="7" pivotButton="0" quotePrefix="0" xfId="0"/>
    <xf numFmtId="0" fontId="6" fillId="0" borderId="8" pivotButton="0" quotePrefix="0" xfId="0"/>
    <xf numFmtId="0" fontId="4" fillId="5" borderId="8" applyAlignment="1" pivotButton="0" quotePrefix="0" xfId="0">
      <alignment horizontal="center" vertical="top" wrapText="1"/>
    </xf>
    <xf numFmtId="0" fontId="7" fillId="6" borderId="2" applyAlignment="1" pivotButton="0" quotePrefix="0" xfId="0">
      <alignment horizontal="center" vertical="top" wrapText="1"/>
    </xf>
    <xf numFmtId="15" fontId="7" fillId="6" borderId="2" applyAlignment="1" pivotButton="0" quotePrefix="0" xfId="0">
      <alignment horizontal="center" vertical="top" wrapText="1"/>
    </xf>
    <xf numFmtId="0" fontId="7" fillId="6" borderId="2" applyAlignment="1" pivotButton="0" quotePrefix="0" xfId="0">
      <alignment horizontal="left" vertical="top" wrapText="1" indent="1"/>
    </xf>
    <xf numFmtId="4" fontId="7" fillId="6" borderId="2" applyAlignment="1" pivotButton="0" quotePrefix="0" xfId="0">
      <alignment horizontal="right" vertical="top" wrapText="1" indent="1"/>
    </xf>
    <xf numFmtId="0" fontId="7" fillId="6" borderId="2" applyAlignment="1" pivotButton="0" quotePrefix="0" xfId="0">
      <alignment horizontal="right" vertical="top" wrapText="1" indent="1"/>
    </xf>
    <xf numFmtId="0" fontId="6" fillId="0" borderId="9" pivotButton="0" quotePrefix="0" xfId="0"/>
    <xf numFmtId="0" fontId="7" fillId="0" borderId="0" applyAlignment="1" pivotButton="0" quotePrefix="0" xfId="0">
      <alignment horizontal="right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2" customWidth="1" min="1" max="1"/>
    <col width="2" customWidth="1" min="2" max="2"/>
    <col width="30" customWidth="1" min="3" max="3"/>
    <col width="24" customWidth="1" min="4" max="4"/>
    <col width="21" customWidth="1" min="5" max="5"/>
    <col width="18" customWidth="1" min="6" max="6"/>
    <col width="22" customWidth="1" min="7" max="7"/>
    <col width="21" customWidth="1" min="8" max="8"/>
    <col width="120" customWidth="1" min="9" max="9"/>
  </cols>
  <sheetData>
    <row r="1"/>
    <row r="2">
      <c r="C2" t="inlineStr">
        <is>
          <t>Desglose de Pago</t>
        </is>
      </c>
      <c r="G2" s="2" t="inlineStr">
        <is>
          <t>REFERENCIA DE PAGO</t>
        </is>
      </c>
      <c r="H2" s="3" t="n">
        <v>10000061418</v>
      </c>
    </row>
    <row r="3"/>
    <row r="4">
      <c r="C4" s="4" t="inlineStr">
        <is>
          <t>CAMPOS NO EDITABLES</t>
        </is>
      </c>
    </row>
    <row r="5"/>
    <row r="6">
      <c r="C6" s="2" t="inlineStr">
        <is>
          <t>Cliente</t>
        </is>
      </c>
      <c r="D6" s="4" t="inlineStr">
        <is>
          <t>FARMATODO COLOMBIA S A</t>
        </is>
      </c>
      <c r="F6" s="2" t="inlineStr">
        <is>
          <t>TOTAL s/ BANCOS</t>
        </is>
      </c>
      <c r="G6" s="4" t="n">
        <v>1</v>
      </c>
    </row>
    <row r="7">
      <c r="C7" s="2" t="n"/>
      <c r="D7" s="4" t="n"/>
      <c r="F7" s="2" t="inlineStr">
        <is>
          <t>TOTAL s/ DETALLE</t>
        </is>
      </c>
      <c r="G7" s="4" t="n">
        <v>0.4399999901652336</v>
      </c>
    </row>
    <row r="8">
      <c r="C8" s="2" t="inlineStr">
        <is>
          <t>Codigo de Cliente</t>
        </is>
      </c>
      <c r="D8" s="4" t="n">
        <v>10324901</v>
      </c>
      <c r="F8" s="2" t="inlineStr">
        <is>
          <t>DIFERENCIA</t>
        </is>
      </c>
      <c r="G8" s="4" t="n">
        <v>0.5600000098347664</v>
      </c>
    </row>
    <row r="9"/>
    <row r="10"/>
    <row r="11">
      <c r="C11" s="2" t="inlineStr">
        <is>
          <t>Referencia</t>
        </is>
      </c>
      <c r="D11" s="2" t="inlineStr">
        <is>
          <t>Fecha</t>
        </is>
      </c>
      <c r="E11" s="2" t="inlineStr">
        <is>
          <t>Método de Pago</t>
        </is>
      </c>
      <c r="F11" s="2" t="inlineStr">
        <is>
          <t>Valor</t>
        </is>
      </c>
    </row>
    <row r="12">
      <c r="C12" t="n">
        <v>10000061418</v>
      </c>
      <c r="D12" s="5" t="n">
        <v>45907</v>
      </c>
      <c r="E12" t="inlineStr">
        <is>
          <t>Transferencia</t>
        </is>
      </c>
      <c r="F12" t="n">
        <v>1</v>
      </c>
    </row>
    <row r="13"/>
    <row r="14"/>
    <row r="15"/>
    <row r="16"/>
    <row r="17"/>
    <row r="18">
      <c r="C18" s="6" t="inlineStr">
        <is>
          <t>Tipo de Documento</t>
        </is>
      </c>
      <c r="D18" s="6" t="inlineStr">
        <is>
          <t>Referencia / Factura</t>
        </is>
      </c>
      <c r="E18" s="7" t="inlineStr">
        <is>
          <t>Importe de factura</t>
        </is>
      </c>
      <c r="F18" s="6" t="inlineStr">
        <is>
          <t>Descuento</t>
        </is>
      </c>
      <c r="G18" s="6" t="inlineStr">
        <is>
          <t>Motivo del descuento</t>
        </is>
      </c>
      <c r="H18" s="7" t="inlineStr">
        <is>
          <t>Pago Neto</t>
        </is>
      </c>
      <c r="I18" s="8" t="inlineStr">
        <is>
          <t>Comentarios</t>
        </is>
      </c>
    </row>
    <row r="19">
      <c r="C19" s="9" t="inlineStr">
        <is>
          <t>Factura</t>
        </is>
      </c>
      <c r="D19" s="9" t="inlineStr">
        <is>
          <t>PMP1257526</t>
        </is>
      </c>
      <c r="E19" s="10" t="n">
        <v>8933837.32</v>
      </c>
      <c r="F19" s="9" t="inlineStr"/>
      <c r="G19" s="9" t="inlineStr"/>
      <c r="H19" s="10" t="n">
        <v>8933837.32</v>
      </c>
      <c r="I19" s="11" t="inlineStr"/>
    </row>
    <row r="20">
      <c r="C20" s="9" t="inlineStr">
        <is>
          <t>Factura</t>
        </is>
      </c>
      <c r="D20" s="9" t="inlineStr">
        <is>
          <t>PMP1257525</t>
        </is>
      </c>
      <c r="E20" s="10" t="n">
        <v>4062750.96</v>
      </c>
      <c r="F20" s="9" t="inlineStr"/>
      <c r="G20" s="9" t="inlineStr"/>
      <c r="H20" s="10" t="n">
        <v>4062750.96</v>
      </c>
      <c r="I20" s="11" t="inlineStr"/>
    </row>
    <row r="21">
      <c r="C21" s="9" t="inlineStr">
        <is>
          <t>Factura</t>
        </is>
      </c>
      <c r="D21" s="9" t="inlineStr">
        <is>
          <t>PMP1257523</t>
        </is>
      </c>
      <c r="E21" s="10" t="n">
        <v>22044554.27</v>
      </c>
      <c r="F21" s="9" t="inlineStr"/>
      <c r="G21" s="9" t="inlineStr"/>
      <c r="H21" s="10" t="n">
        <v>22044554.27</v>
      </c>
      <c r="I21" s="11" t="inlineStr"/>
    </row>
    <row r="22">
      <c r="C22" s="9" t="inlineStr">
        <is>
          <t>Factura</t>
        </is>
      </c>
      <c r="D22" s="9" t="inlineStr">
        <is>
          <t>PMP1254823</t>
        </is>
      </c>
      <c r="E22" s="10" t="n">
        <v>120905183.36</v>
      </c>
      <c r="F22" s="9" t="inlineStr"/>
      <c r="G22" s="9" t="inlineStr"/>
      <c r="H22" s="10" t="n">
        <v>120905183.36</v>
      </c>
      <c r="I22" s="11" t="inlineStr"/>
    </row>
    <row r="23">
      <c r="C23" s="9" t="inlineStr">
        <is>
          <t>Descuentos no asociados a FC</t>
        </is>
      </c>
      <c r="D23" s="9" t="inlineStr">
        <is>
          <t>FV-XKZV26513</t>
        </is>
      </c>
      <c r="E23" s="10" t="n">
        <v>-811023.46</v>
      </c>
      <c r="F23" s="9" t="inlineStr">
        <is>
          <t>FACT PROVEEDOR</t>
        </is>
      </c>
      <c r="G23" s="9" t="inlineStr">
        <is>
          <t>CSB</t>
        </is>
      </c>
      <c r="H23" s="10" t="n">
        <v>-811023.46</v>
      </c>
      <c r="I23" s="11" t="inlineStr">
        <is>
          <t>FACT PROVEEDOR FV-XKZV26513 Acuerdo Fijo Mensual 01 7%� - MASIVOS/MISCELANEOS Exhibiciones Adicionales</t>
        </is>
      </c>
    </row>
    <row r="24">
      <c r="C24" s="9" t="inlineStr">
        <is>
          <t>Descuentos no asociados a FC</t>
        </is>
      </c>
      <c r="D24" s="9" t="inlineStr">
        <is>
          <t>FV-XKZV27008</t>
        </is>
      </c>
      <c r="E24" s="10" t="n">
        <v>-15470000</v>
      </c>
      <c r="F24" s="9" t="inlineStr">
        <is>
          <t>FACT PROVEEDOR</t>
        </is>
      </c>
      <c r="G24" s="9" t="inlineStr">
        <is>
          <t>CSB</t>
        </is>
      </c>
      <c r="H24" s="10" t="n">
        <v>-15470000</v>
      </c>
      <c r="I24" s="11" t="inlineStr">
        <is>
          <t>FACT PROVEEDOR FV-XKZV27008 Cobro Descuento Apoyo Apertura mes de Junio-2025 Masivos Sucursal</t>
        </is>
      </c>
    </row>
    <row r="25">
      <c r="C25" s="9" t="inlineStr">
        <is>
          <t>Descuentos no asociados a FC</t>
        </is>
      </c>
      <c r="D25" s="9" t="inlineStr">
        <is>
          <t>NC-PMP1257525</t>
        </is>
      </c>
      <c r="E25" s="10" t="n">
        <v>-68281.53</v>
      </c>
      <c r="F25" s="9" t="inlineStr">
        <is>
          <t>DSCT AVERIAS</t>
        </is>
      </c>
      <c r="G25" s="9" t="inlineStr">
        <is>
          <t>206</t>
        </is>
      </c>
      <c r="H25" s="10" t="n">
        <v>-68281.53</v>
      </c>
      <c r="I25" s="11" t="inlineStr">
        <is>
          <t>DSCT AVERIAS NC-PMP1257525 OC:14004661 UNILEVER ANDINA COLOMBIA LTDA (DPP)</t>
        </is>
      </c>
    </row>
    <row r="26">
      <c r="C26" s="9" t="inlineStr">
        <is>
          <t>Descuentos no asociados a FC</t>
        </is>
      </c>
      <c r="D26" s="9" t="inlineStr">
        <is>
          <t>NC-PMP1257523</t>
        </is>
      </c>
      <c r="E26" s="10" t="n">
        <v>-370496.71</v>
      </c>
      <c r="F26" s="9" t="inlineStr">
        <is>
          <t>DSCT AVERIAS</t>
        </is>
      </c>
      <c r="G26" s="9" t="inlineStr">
        <is>
          <t>206</t>
        </is>
      </c>
      <c r="H26" s="10" t="n">
        <v>-370496.71</v>
      </c>
      <c r="I26" s="11" t="inlineStr">
        <is>
          <t>DSCT AVERIAS NC-PMP1257523 OC:14004661 UNILEVER ANDINA COLOMBIA LTDA (DPP)</t>
        </is>
      </c>
    </row>
    <row r="27">
      <c r="C27" s="9" t="inlineStr">
        <is>
          <t>Descuentos no asociados a FC</t>
        </is>
      </c>
      <c r="D27" s="9" t="inlineStr">
        <is>
          <t>NCF-DC05-16088</t>
        </is>
      </c>
      <c r="E27" s="10" t="n">
        <v>-13948980.1</v>
      </c>
      <c r="F27" s="9" t="inlineStr">
        <is>
          <t>CONVENIOS</t>
        </is>
      </c>
      <c r="G27" s="9" t="inlineStr">
        <is>
          <t>657</t>
        </is>
      </c>
      <c r="H27" s="10" t="n">
        <v>-13948980.1</v>
      </c>
      <c r="I27" s="11" t="inlineStr">
        <is>
          <t>CONVENIOS NCF-DC05-16088 Confidencial Acuerdo Fijo Mensual .4% 01-06-2025-30-06-20</t>
        </is>
      </c>
    </row>
    <row r="28">
      <c r="C28" s="9" t="inlineStr">
        <is>
          <t>Descuentos no asociados a FC</t>
        </is>
      </c>
      <c r="D28" s="9" t="inlineStr">
        <is>
          <t>NC100320204</t>
        </is>
      </c>
      <c r="E28" s="10" t="n">
        <v>-1487731.61</v>
      </c>
      <c r="F28" s="9" t="inlineStr">
        <is>
          <t>DSCT AVERIAS</t>
        </is>
      </c>
      <c r="G28" s="9" t="inlineStr">
        <is>
          <t>522</t>
        </is>
      </c>
      <c r="H28" s="10" t="n">
        <v>-1487731.61</v>
      </c>
      <c r="I28" s="11" t="inlineStr">
        <is>
          <t>DSCT AVERIAS NC100320204 NOTAS DE CREDITO POR DEVOLUCION 100320204</t>
        </is>
      </c>
    </row>
    <row r="29">
      <c r="C29" s="9" t="inlineStr">
        <is>
          <t>Descuentos no asociados a FC</t>
        </is>
      </c>
      <c r="D29" s="9" t="inlineStr">
        <is>
          <t>NC-DC04-755525</t>
        </is>
      </c>
      <c r="E29" s="10" t="n">
        <v>-165487</v>
      </c>
      <c r="F29" s="9" t="inlineStr">
        <is>
          <t>DSCT PROMOCIONAL</t>
        </is>
      </c>
      <c r="G29" s="9" t="inlineStr">
        <is>
          <t>987</t>
        </is>
      </c>
      <c r="H29" s="10" t="n">
        <v>-165487</v>
      </c>
      <c r="I29" s="11" t="inlineStr">
        <is>
          <t>DSCT PROMOCIONAL NC-DC04-755525 Liquidaciones Ventas Pos -Primera Compra Junio - Belleza y cuidado personal</t>
        </is>
      </c>
    </row>
    <row r="30">
      <c r="C30" s="9" t="inlineStr">
        <is>
          <t>Descuentos no asociados a FC</t>
        </is>
      </c>
      <c r="D30" s="9" t="inlineStr">
        <is>
          <t>NC-DC04-755523</t>
        </is>
      </c>
      <c r="E30" s="10" t="n">
        <v>-1183970.05</v>
      </c>
      <c r="F30" s="9" t="inlineStr">
        <is>
          <t>DSCT PROMOCIONAL</t>
        </is>
      </c>
      <c r="G30" s="9" t="inlineStr">
        <is>
          <t>987</t>
        </is>
      </c>
      <c r="H30" s="10" t="n">
        <v>-1183970.05</v>
      </c>
      <c r="I30" s="11" t="inlineStr">
        <is>
          <t>DSCT PROMOCIONAL NC-DC04-755523 Liquidaciones Ventas Pos -72 Horas 13 al 15 Junio - Belleza y cuidado personal</t>
        </is>
      </c>
    </row>
    <row r="31">
      <c r="C31" s="9" t="inlineStr">
        <is>
          <t>Descuentos no asociados a FC</t>
        </is>
      </c>
      <c r="D31" s="9" t="inlineStr">
        <is>
          <t>NC-DC04-755521</t>
        </is>
      </c>
      <c r="E31" s="10" t="n">
        <v>-2473742.3</v>
      </c>
      <c r="F31" s="9" t="inlineStr">
        <is>
          <t>DSCT PROMOCIONAL</t>
        </is>
      </c>
      <c r="G31" s="9" t="inlineStr">
        <is>
          <t>987</t>
        </is>
      </c>
      <c r="H31" s="10" t="n">
        <v>-2473742.3</v>
      </c>
      <c r="I31" s="11" t="inlineStr">
        <is>
          <t>DSCT PROMOCIONAL NC-DC04-755521 Liquidaciones Ventas Pos -Folleto Quincenal 6 al 19 Junio - Belleza y cuidado personal</t>
        </is>
      </c>
    </row>
    <row r="32">
      <c r="C32" s="9" t="inlineStr">
        <is>
          <t>Descuentos no asociados a FC</t>
        </is>
      </c>
      <c r="D32" s="9" t="inlineStr">
        <is>
          <t>NC-DC04-755517</t>
        </is>
      </c>
      <c r="E32" s="10" t="n">
        <v>-964465.5</v>
      </c>
      <c r="F32" s="9" t="inlineStr">
        <is>
          <t>DSCT PROMOCIONAL</t>
        </is>
      </c>
      <c r="G32" s="9" t="inlineStr">
        <is>
          <t>987</t>
        </is>
      </c>
      <c r="H32" s="10" t="n">
        <v>-964465.5</v>
      </c>
      <c r="I32" s="11" t="inlineStr">
        <is>
          <t>DSCT PROMOCIONAL NC-DC04-755517 Liquidaciones ventas pos junio - Dcto Feria General</t>
        </is>
      </c>
    </row>
    <row r="33">
      <c r="C33" s="9" t="inlineStr">
        <is>
          <t>Descuentos no asociados a FC</t>
        </is>
      </c>
      <c r="D33" s="9" t="inlineStr">
        <is>
          <t>NC-DC04-755515</t>
        </is>
      </c>
      <c r="E33" s="10" t="n">
        <v>-1563430</v>
      </c>
      <c r="F33" s="9" t="inlineStr">
        <is>
          <t>DSCT PROMOCIONAL</t>
        </is>
      </c>
      <c r="G33" s="9" t="inlineStr">
        <is>
          <t>987</t>
        </is>
      </c>
      <c r="H33" s="10" t="n">
        <v>-1563430</v>
      </c>
      <c r="I33" s="11" t="inlineStr">
        <is>
          <t>DSCT PROMOCIONAL NC-DC04-755515 Liquidaciones ventas pos junio - Folleto 23 a 5</t>
        </is>
      </c>
    </row>
    <row r="34">
      <c r="C34" s="9" t="inlineStr">
        <is>
          <t>Descuentos no asociados a FC</t>
        </is>
      </c>
      <c r="D34" s="9" t="inlineStr">
        <is>
          <t>NC-DC04-755513</t>
        </is>
      </c>
      <c r="E34" s="10" t="n">
        <v>-8138292.12</v>
      </c>
      <c r="F34" s="9" t="inlineStr">
        <is>
          <t>DSCT PROMOCIONAL</t>
        </is>
      </c>
      <c r="G34" s="9" t="inlineStr">
        <is>
          <t>987</t>
        </is>
      </c>
      <c r="H34" s="10" t="n">
        <v>-8138292.12</v>
      </c>
      <c r="I34" s="11" t="inlineStr">
        <is>
          <t>DSCT PROMOCIONAL NC-DC04-755513 Liquidaciones Ventas Pos -Combos Virtuales Junio - Belleza y cuidado personal</t>
        </is>
      </c>
    </row>
    <row r="35">
      <c r="C35" s="9" t="inlineStr">
        <is>
          <t>Descuentos no asociados a FC</t>
        </is>
      </c>
      <c r="D35" s="9" t="inlineStr">
        <is>
          <t>NC-DC04-755512</t>
        </is>
      </c>
      <c r="E35" s="10" t="n">
        <v>-13029314.1</v>
      </c>
      <c r="F35" s="9" t="inlineStr">
        <is>
          <t>DSCT PROMOCIONAL</t>
        </is>
      </c>
      <c r="G35" s="9" t="inlineStr">
        <is>
          <t>987</t>
        </is>
      </c>
      <c r="H35" s="10" t="n">
        <v>-13029314.1</v>
      </c>
      <c r="I35" s="11" t="inlineStr">
        <is>
          <t>DSCT PROMOCIONAL NC-DC04-755512 Liquidaciones Ventas Pos -Descuento Feria 12 al 15 Junio - Belleza y cuidado personal</t>
        </is>
      </c>
    </row>
    <row r="36">
      <c r="C36" s="9" t="inlineStr">
        <is>
          <t>Descuentos no asociados a FC</t>
        </is>
      </c>
      <c r="D36" s="9" t="inlineStr">
        <is>
          <t>NC-DC04-755511</t>
        </is>
      </c>
      <c r="E36" s="10" t="n">
        <v>-15374384.45</v>
      </c>
      <c r="F36" s="9" t="inlineStr">
        <is>
          <t>DSCT PROMOCIONAL</t>
        </is>
      </c>
      <c r="G36" s="9" t="inlineStr">
        <is>
          <t>987</t>
        </is>
      </c>
      <c r="H36" s="10" t="n">
        <v>-15374384.45</v>
      </c>
      <c r="I36" s="11" t="inlineStr">
        <is>
          <t>DSCT PROMOCIONAL NC-DC04-755511 Liquidaciones ventas pos junio - Primaton</t>
        </is>
      </c>
    </row>
    <row r="37">
      <c r="C37" s="9" t="inlineStr">
        <is>
          <t>Descuentos no asociados a FC</t>
        </is>
      </c>
      <c r="D37" s="9" t="inlineStr">
        <is>
          <t>NC-DC04-755509</t>
        </is>
      </c>
      <c r="E37" s="10" t="n">
        <v>-36331344.8</v>
      </c>
      <c r="F37" s="9" t="inlineStr">
        <is>
          <t>DSCT PROMOCIONAL</t>
        </is>
      </c>
      <c r="G37" s="9" t="inlineStr">
        <is>
          <t>987</t>
        </is>
      </c>
      <c r="H37" s="10" t="n">
        <v>-36331344.8</v>
      </c>
      <c r="I37" s="11" t="inlineStr">
        <is>
          <t>DSCT PROMOCIONAL NC-DC04-755509 Liquidaciones Ventas Pos -Primera Compra Junio - Belleza y cuidado personal</t>
        </is>
      </c>
    </row>
    <row r="38">
      <c r="C38" s="9" t="inlineStr">
        <is>
          <t>Descuentos no asociados a FC</t>
        </is>
      </c>
      <c r="D38" s="9" t="inlineStr">
        <is>
          <t>NC-PMP1257526</t>
        </is>
      </c>
      <c r="E38" s="10" t="n">
        <v>-150148.53</v>
      </c>
      <c r="F38" s="9" t="inlineStr">
        <is>
          <t>DSCT AVERIAS</t>
        </is>
      </c>
      <c r="G38" s="9" t="inlineStr">
        <is>
          <t>206</t>
        </is>
      </c>
      <c r="H38" s="10" t="n">
        <v>-150148.53</v>
      </c>
      <c r="I38" s="11" t="inlineStr">
        <is>
          <t>DSCT AVERIAS NC-PMP1257526 OC:14004661 UNILEVER ANDINA COLOMBIA LTDA (DPP)</t>
        </is>
      </c>
    </row>
    <row r="39">
      <c r="C39" s="9" t="inlineStr">
        <is>
          <t>Descuentos no asociados a FC</t>
        </is>
      </c>
      <c r="D39" s="9" t="inlineStr">
        <is>
          <t>PMP1257525</t>
        </is>
      </c>
      <c r="E39" s="10" t="n">
        <v>-0.5200000000186265</v>
      </c>
      <c r="F39" s="9" t="inlineStr">
        <is>
          <t>MENORES VALORES</t>
        </is>
      </c>
      <c r="G39" s="9" t="inlineStr">
        <is>
          <t>WOB</t>
        </is>
      </c>
      <c r="H39" s="10" t="n">
        <v>-0.5200000000186265</v>
      </c>
      <c r="I39" s="11" t="inlineStr">
        <is>
          <t>MENORES VALORES</t>
        </is>
      </c>
    </row>
    <row r="40">
      <c r="C40" s="9" t="inlineStr">
        <is>
          <t>Descuentos no asociados a FC</t>
        </is>
      </c>
      <c r="D40" s="9" t="inlineStr">
        <is>
          <t>PMP1257523</t>
        </is>
      </c>
      <c r="E40" s="10" t="n">
        <v>1.25</v>
      </c>
      <c r="F40" s="9" t="inlineStr">
        <is>
          <t>MENORES VALORES</t>
        </is>
      </c>
      <c r="G40" s="9" t="inlineStr">
        <is>
          <t>384</t>
        </is>
      </c>
      <c r="H40" s="10" t="n">
        <v>1.25</v>
      </c>
      <c r="I40" s="11" t="inlineStr">
        <is>
          <t>MENORES VALORES</t>
        </is>
      </c>
    </row>
    <row r="41">
      <c r="C41" s="9" t="inlineStr">
        <is>
          <t>Descuentos no asociados a FC</t>
        </is>
      </c>
      <c r="D41" s="9" t="inlineStr">
        <is>
          <t>PMP1254823</t>
        </is>
      </c>
      <c r="E41" s="10" t="n">
        <v>0.06000000238418579</v>
      </c>
      <c r="F41" s="9" t="inlineStr">
        <is>
          <t>MENORES VALORES</t>
        </is>
      </c>
      <c r="G41" s="9" t="inlineStr">
        <is>
          <t>384</t>
        </is>
      </c>
      <c r="H41" s="10" t="n">
        <v>0.06000000238418579</v>
      </c>
      <c r="I41" s="11" t="inlineStr">
        <is>
          <t>MENORES VALORES</t>
        </is>
      </c>
    </row>
    <row r="42">
      <c r="C42" s="9" t="inlineStr">
        <is>
          <t>Nota de Crédito</t>
        </is>
      </c>
      <c r="D42" s="9" t="inlineStr">
        <is>
          <t>1200010915</t>
        </is>
      </c>
      <c r="E42" s="10" t="n">
        <v>-44415234</v>
      </c>
      <c r="F42" s="9" t="inlineStr"/>
      <c r="G42" s="9" t="inlineStr">
        <is>
          <t>NRO</t>
        </is>
      </c>
      <c r="H42" s="10" t="n">
        <v>-44415234</v>
      </c>
      <c r="I42" s="11" t="inlineStr">
        <is>
          <t>Pendiente de Aplicar sin Soporte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2.1796875" customWidth="1" min="1" max="1"/>
    <col width="14.08984375" customWidth="1" min="2" max="2"/>
    <col width="13.7265625" customWidth="1" min="3" max="3"/>
    <col width="16.453125" customWidth="1" min="4" max="4"/>
    <col width="13.90625" customWidth="1" min="5" max="5"/>
    <col width="17.90625" customWidth="1" min="6" max="6"/>
    <col width="14.7265625" customWidth="1" min="7" max="7"/>
    <col width="44.54296875" customWidth="1" min="8" max="8"/>
    <col width="23.6328125" customWidth="1" min="9" max="9"/>
    <col width="14.7265625" customWidth="1" min="10" max="10"/>
    <col width="14.90625" customWidth="1" min="11" max="11"/>
    <col width="21.7265625" customWidth="1" min="12" max="12"/>
    <col width="27.1796875" customWidth="1" min="13" max="13"/>
    <col width="14.90625" customWidth="1" min="14" max="14"/>
    <col width="16.36328125" customWidth="1" min="15" max="15"/>
  </cols>
  <sheetData>
    <row r="1" ht="15.5" customHeight="1">
      <c r="A1" s="12" t="inlineStr">
        <is>
          <t>FARMATODO COLOMBIA, S.A.</t>
        </is>
      </c>
    </row>
    <row r="2"/>
    <row r="3" ht="15.5" customHeight="1">
      <c r="A3" s="12" t="inlineStr">
        <is>
          <t>Nit  830129327-1</t>
        </is>
      </c>
    </row>
    <row r="4" ht="18" customHeight="1">
      <c r="A4" s="13" t="inlineStr">
        <is>
          <t>Presenta la siguiente notificación de Pago a: UNILEVER ANDINA COLOMBIA LTDA</t>
        </is>
      </c>
    </row>
    <row r="5"/>
    <row r="6" ht="16.65" customHeight="1">
      <c r="A6" s="14" t="inlineStr">
        <is>
          <t>Banco</t>
        </is>
      </c>
      <c r="B6" s="14" t="inlineStr">
        <is>
          <t>Nro Pago</t>
        </is>
      </c>
      <c r="C6" s="14" t="inlineStr">
        <is>
          <t>Fecha Pago</t>
        </is>
      </c>
      <c r="D6" s="15" t="inlineStr">
        <is>
          <t>Monto Pago</t>
        </is>
      </c>
      <c r="E6" s="14" t="inlineStr">
        <is>
          <t>Moneda Pago</t>
        </is>
      </c>
      <c r="F6" s="16" t="n"/>
      <c r="G6" s="17" t="n"/>
      <c r="H6" s="17" t="n"/>
      <c r="I6" s="17" t="n"/>
      <c r="J6" s="17" t="n"/>
      <c r="K6" s="17" t="n"/>
      <c r="L6" s="17" t="n"/>
      <c r="M6" s="17" t="n"/>
      <c r="N6" s="17" t="n"/>
      <c r="O6" s="18" t="n"/>
    </row>
    <row r="7" ht="15.65" customHeight="1">
      <c r="A7" s="19" t="inlineStr">
        <is>
          <t>PROSEGUR</t>
        </is>
      </c>
      <c r="B7" s="19" t="n">
        <v>10000061418</v>
      </c>
      <c r="C7" s="20" t="n">
        <v>45866</v>
      </c>
      <c r="D7" s="21" t="n">
        <v>44415234</v>
      </c>
      <c r="E7" s="19" t="inlineStr">
        <is>
          <t>COP</t>
        </is>
      </c>
      <c r="F7" s="14" t="inlineStr">
        <is>
          <t>Nro Factura</t>
        </is>
      </c>
      <c r="G7" s="14" t="inlineStr">
        <is>
          <t>Fecha Factura</t>
        </is>
      </c>
      <c r="H7" s="14" t="inlineStr">
        <is>
          <t>Descripción</t>
        </is>
      </c>
      <c r="I7" s="14" t="inlineStr">
        <is>
          <t>Monto Factura Sin IVA</t>
        </is>
      </c>
      <c r="J7" s="14" t="inlineStr">
        <is>
          <t>Monto IVA</t>
        </is>
      </c>
      <c r="K7" s="14" t="inlineStr">
        <is>
          <t>Retención ICA</t>
        </is>
      </c>
      <c r="L7" s="14" t="inlineStr">
        <is>
          <t>Retención a la Fuente</t>
        </is>
      </c>
      <c r="M7" s="14" t="inlineStr">
        <is>
          <t>Descuento por Pronto Pago</t>
        </is>
      </c>
      <c r="N7" s="14" t="inlineStr">
        <is>
          <t>Retención IVA</t>
        </is>
      </c>
      <c r="O7" s="22" t="inlineStr">
        <is>
          <t>Monto Factura</t>
        </is>
      </c>
    </row>
    <row r="8" ht="15.65" customHeight="1">
      <c r="A8" s="23" t="n"/>
      <c r="B8" s="23" t="n"/>
      <c r="C8" s="23" t="n"/>
      <c r="D8" s="23" t="n"/>
      <c r="E8" s="23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5" t="inlineStr">
        <is>
          <t>Total</t>
        </is>
      </c>
    </row>
    <row r="9" ht="15.65" customHeight="1">
      <c r="A9" s="23" t="n"/>
      <c r="B9" s="23" t="n"/>
      <c r="C9" s="23" t="n"/>
      <c r="D9" s="23" t="n"/>
      <c r="E9" s="23" t="n"/>
      <c r="F9" s="26" t="inlineStr">
        <is>
          <t>FV-XKZV26513</t>
        </is>
      </c>
      <c r="G9" s="27" t="n">
        <v>45842</v>
      </c>
      <c r="H9" s="28" t="inlineStr">
        <is>
          <t>Acuerdo Fijo Mensual 01 7%� - MASIVOS/MISCELANEOS Exhibiciones Adicionales</t>
        </is>
      </c>
      <c r="I9" s="29" t="n">
        <v>-811023.46</v>
      </c>
      <c r="J9" s="29" t="n">
        <v>0</v>
      </c>
      <c r="K9" s="30" t="n">
        <v>0</v>
      </c>
      <c r="L9" s="30" t="n">
        <v>0</v>
      </c>
      <c r="M9" s="30" t="n">
        <v>0</v>
      </c>
      <c r="N9" s="30" t="n">
        <v>0</v>
      </c>
      <c r="O9" s="29" t="n">
        <v>-811023.46</v>
      </c>
    </row>
    <row r="10" ht="15.65" customHeight="1">
      <c r="A10" s="23" t="n"/>
      <c r="B10" s="23" t="n"/>
      <c r="C10" s="23" t="n"/>
      <c r="D10" s="23" t="n"/>
      <c r="E10" s="23" t="n"/>
      <c r="F10" s="26" t="inlineStr">
        <is>
          <t>FV-XKZV27008</t>
        </is>
      </c>
      <c r="G10" s="27" t="n">
        <v>45842</v>
      </c>
      <c r="H10" s="28" t="inlineStr">
        <is>
          <t>Cobro Descuento Apoyo Apertura mes de Junio-2025 Masivos Sucursal</t>
        </is>
      </c>
      <c r="I10" s="30" t="n">
        <v>-15470000</v>
      </c>
      <c r="J10" s="30" t="n">
        <v>0</v>
      </c>
      <c r="K10" s="30" t="n">
        <v>0</v>
      </c>
      <c r="L10" s="30" t="n">
        <v>0</v>
      </c>
      <c r="M10" s="29" t="n">
        <v>0</v>
      </c>
      <c r="N10" s="30" t="n">
        <v>0</v>
      </c>
      <c r="O10" s="29" t="n">
        <v>-15470000</v>
      </c>
    </row>
    <row r="11" ht="15.65" customHeight="1">
      <c r="A11" s="23" t="n"/>
      <c r="B11" s="23" t="n"/>
      <c r="C11" s="23" t="n"/>
      <c r="D11" s="23" t="n"/>
      <c r="E11" s="23" t="n"/>
      <c r="F11" s="26" t="inlineStr">
        <is>
          <t>NC-DC04-755509</t>
        </is>
      </c>
      <c r="G11" s="27" t="n">
        <v>45842</v>
      </c>
      <c r="H11" s="28" t="inlineStr">
        <is>
          <t>Liquidaciones Ventas Pos -Primera Compra Junio - Belleza y cuidado personal</t>
        </is>
      </c>
      <c r="I11" s="30" t="n">
        <v>-36331344.8</v>
      </c>
      <c r="J11" s="30" t="n">
        <v>0</v>
      </c>
      <c r="K11" s="30" t="n">
        <v>0</v>
      </c>
      <c r="L11" s="30" t="n">
        <v>0</v>
      </c>
      <c r="M11" s="29" t="n">
        <v>0</v>
      </c>
      <c r="N11" s="30" t="n">
        <v>0</v>
      </c>
      <c r="O11" s="29" t="n">
        <v>-36331344.8</v>
      </c>
    </row>
    <row r="12" ht="15.65" customHeight="1">
      <c r="A12" s="23" t="n"/>
      <c r="B12" s="23" t="n"/>
      <c r="C12" s="23" t="n"/>
      <c r="D12" s="23" t="n"/>
      <c r="E12" s="23" t="n"/>
      <c r="F12" s="26" t="inlineStr">
        <is>
          <t>NC-DC04-755511</t>
        </is>
      </c>
      <c r="G12" s="27" t="n">
        <v>45842</v>
      </c>
      <c r="H12" s="28" t="inlineStr">
        <is>
          <t>Liquidaciones ventas pos junio - Primaton</t>
        </is>
      </c>
      <c r="I12" s="29" t="n">
        <v>-15374384.45</v>
      </c>
      <c r="J12" s="29" t="n">
        <v>0</v>
      </c>
      <c r="K12" s="30" t="n">
        <v>0</v>
      </c>
      <c r="L12" s="30" t="n">
        <v>0</v>
      </c>
      <c r="M12" s="30" t="n">
        <v>0</v>
      </c>
      <c r="N12" s="30" t="n">
        <v>0</v>
      </c>
      <c r="O12" s="29" t="n">
        <v>-15374384.45</v>
      </c>
    </row>
    <row r="13" ht="15.65" customHeight="1">
      <c r="A13" s="23" t="n"/>
      <c r="B13" s="23" t="n"/>
      <c r="C13" s="23" t="n"/>
      <c r="D13" s="23" t="n"/>
      <c r="E13" s="23" t="n"/>
      <c r="F13" s="26" t="inlineStr">
        <is>
          <t>NC-DC04-755512</t>
        </is>
      </c>
      <c r="G13" s="27" t="n">
        <v>45842</v>
      </c>
      <c r="H13" s="28" t="inlineStr">
        <is>
          <t>Liquidaciones Ventas Pos -Descuento Feria 12 al 15 Junio - Belleza y cuidado personal</t>
        </is>
      </c>
      <c r="I13" s="29" t="n">
        <v>-13029314.1</v>
      </c>
      <c r="J13" s="29" t="n">
        <v>0</v>
      </c>
      <c r="K13" s="30" t="n">
        <v>0</v>
      </c>
      <c r="L13" s="30" t="n">
        <v>0</v>
      </c>
      <c r="M13" s="30" t="n">
        <v>0</v>
      </c>
      <c r="N13" s="30" t="n">
        <v>0</v>
      </c>
      <c r="O13" s="29" t="n">
        <v>-13029314.1</v>
      </c>
    </row>
    <row r="14" ht="15.65" customHeight="1">
      <c r="A14" s="23" t="n"/>
      <c r="B14" s="23" t="n"/>
      <c r="C14" s="23" t="n"/>
      <c r="D14" s="23" t="n"/>
      <c r="E14" s="23" t="n"/>
      <c r="F14" s="26" t="inlineStr">
        <is>
          <t>NC-DC04-755513</t>
        </is>
      </c>
      <c r="G14" s="27" t="n">
        <v>45842</v>
      </c>
      <c r="H14" s="28" t="inlineStr">
        <is>
          <t>Liquidaciones Ventas Pos -Combos Virtuales Junio - Belleza y cuidado personal</t>
        </is>
      </c>
      <c r="I14" s="29" t="n">
        <v>-8138292.12</v>
      </c>
      <c r="J14" s="29" t="n">
        <v>0</v>
      </c>
      <c r="K14" s="30" t="n">
        <v>0</v>
      </c>
      <c r="L14" s="30" t="n">
        <v>0</v>
      </c>
      <c r="M14" s="29" t="n">
        <v>0</v>
      </c>
      <c r="N14" s="30" t="n">
        <v>0</v>
      </c>
      <c r="O14" s="29" t="n">
        <v>-8138292.12</v>
      </c>
    </row>
    <row r="15" ht="15.65" customHeight="1">
      <c r="A15" s="23" t="n"/>
      <c r="B15" s="23" t="n"/>
      <c r="C15" s="23" t="n"/>
      <c r="D15" s="23" t="n"/>
      <c r="E15" s="23" t="n"/>
      <c r="F15" s="26" t="inlineStr">
        <is>
          <t>NC-DC04-755515</t>
        </is>
      </c>
      <c r="G15" s="27" t="n">
        <v>45842</v>
      </c>
      <c r="H15" s="28" t="inlineStr">
        <is>
          <t>Liquidaciones ventas pos junio - Folleto 23 a 5</t>
        </is>
      </c>
      <c r="I15" s="29" t="n">
        <v>-1563430</v>
      </c>
      <c r="J15" s="29" t="n">
        <v>0</v>
      </c>
      <c r="K15" s="30" t="n">
        <v>0</v>
      </c>
      <c r="L15" s="30" t="n">
        <v>0</v>
      </c>
      <c r="M15" s="29" t="n">
        <v>0</v>
      </c>
      <c r="N15" s="30" t="n">
        <v>0</v>
      </c>
      <c r="O15" s="29" t="n">
        <v>-1563430</v>
      </c>
    </row>
    <row r="16" ht="15.65" customHeight="1">
      <c r="A16" s="23" t="n"/>
      <c r="B16" s="23" t="n"/>
      <c r="C16" s="23" t="n"/>
      <c r="D16" s="23" t="n"/>
      <c r="E16" s="23" t="n"/>
      <c r="F16" s="26" t="inlineStr">
        <is>
          <t>NC-DC04-755517</t>
        </is>
      </c>
      <c r="G16" s="27" t="n">
        <v>45842</v>
      </c>
      <c r="H16" s="28" t="inlineStr">
        <is>
          <t>Liquidaciones ventas pos junio - Dcto Feria General</t>
        </is>
      </c>
      <c r="I16" s="29" t="n">
        <v>-964465.5</v>
      </c>
      <c r="J16" s="29" t="n">
        <v>0</v>
      </c>
      <c r="K16" s="30" t="n">
        <v>0</v>
      </c>
      <c r="L16" s="30" t="n">
        <v>0</v>
      </c>
      <c r="M16" s="30" t="n">
        <v>0</v>
      </c>
      <c r="N16" s="30" t="n">
        <v>0</v>
      </c>
      <c r="O16" s="29" t="n">
        <v>-964465.5</v>
      </c>
    </row>
    <row r="17" ht="15.65" customHeight="1">
      <c r="A17" s="23" t="n"/>
      <c r="B17" s="23" t="n"/>
      <c r="C17" s="23" t="n"/>
      <c r="D17" s="23" t="n"/>
      <c r="E17" s="23" t="n"/>
      <c r="F17" s="26" t="inlineStr">
        <is>
          <t>NC-DC04-755521</t>
        </is>
      </c>
      <c r="G17" s="27" t="n">
        <v>45842</v>
      </c>
      <c r="H17" s="28" t="inlineStr">
        <is>
          <t>Liquidaciones Ventas Pos -Folleto Quincenal 6 al 19 Junio - Belleza y cuidado personal</t>
        </is>
      </c>
      <c r="I17" s="29" t="n">
        <v>-2473742.3</v>
      </c>
      <c r="J17" s="29" t="n">
        <v>0</v>
      </c>
      <c r="K17" s="30" t="n">
        <v>0</v>
      </c>
      <c r="L17" s="30" t="n">
        <v>0</v>
      </c>
      <c r="M17" s="29" t="n">
        <v>0</v>
      </c>
      <c r="N17" s="30" t="n">
        <v>0</v>
      </c>
      <c r="O17" s="29" t="n">
        <v>-2473742.3</v>
      </c>
    </row>
    <row r="18" ht="15.65" customHeight="1">
      <c r="A18" s="23" t="n"/>
      <c r="B18" s="23" t="n"/>
      <c r="C18" s="23" t="n"/>
      <c r="D18" s="23" t="n"/>
      <c r="E18" s="23" t="n"/>
      <c r="F18" s="26" t="inlineStr">
        <is>
          <t>NC-DC04-755523</t>
        </is>
      </c>
      <c r="G18" s="27" t="n">
        <v>45842</v>
      </c>
      <c r="H18" s="28" t="inlineStr">
        <is>
          <t>Liquidaciones Ventas Pos -72 Horas 13 al 15 Junio - Belleza y cuidado personal</t>
        </is>
      </c>
      <c r="I18" s="29" t="n">
        <v>-1183970.05</v>
      </c>
      <c r="J18" s="29" t="n">
        <v>0</v>
      </c>
      <c r="K18" s="30" t="n">
        <v>0</v>
      </c>
      <c r="L18" s="30" t="n">
        <v>0</v>
      </c>
      <c r="M18" s="30" t="n">
        <v>0</v>
      </c>
      <c r="N18" s="30" t="n">
        <v>0</v>
      </c>
      <c r="O18" s="29" t="n">
        <v>-1183970.05</v>
      </c>
    </row>
    <row r="19" ht="15.65" customHeight="1">
      <c r="A19" s="23" t="n"/>
      <c r="B19" s="23" t="n"/>
      <c r="C19" s="23" t="n"/>
      <c r="D19" s="23" t="n"/>
      <c r="E19" s="23" t="n"/>
      <c r="F19" s="26" t="inlineStr">
        <is>
          <t>NC-DC04-755525</t>
        </is>
      </c>
      <c r="G19" s="27" t="n">
        <v>45842</v>
      </c>
      <c r="H19" s="28" t="inlineStr">
        <is>
          <t>Liquidaciones Ventas Pos -Primera Compra Junio - Belleza y cuidado personal</t>
        </is>
      </c>
      <c r="I19" s="29" t="n">
        <v>-165487</v>
      </c>
      <c r="J19" s="29" t="n">
        <v>0</v>
      </c>
      <c r="K19" s="30" t="n">
        <v>0</v>
      </c>
      <c r="L19" s="30" t="n">
        <v>0</v>
      </c>
      <c r="M19" s="29" t="n">
        <v>0</v>
      </c>
      <c r="N19" s="30" t="n">
        <v>0</v>
      </c>
      <c r="O19" s="29" t="n">
        <v>-165487</v>
      </c>
    </row>
    <row r="20" ht="15.65" customHeight="1">
      <c r="A20" s="23" t="n"/>
      <c r="B20" s="23" t="n"/>
      <c r="C20" s="23" t="n"/>
      <c r="D20" s="23" t="n"/>
      <c r="E20" s="23" t="n"/>
      <c r="F20" s="26" t="inlineStr">
        <is>
          <t>NC100320204</t>
        </is>
      </c>
      <c r="G20" s="27" t="n">
        <v>45859</v>
      </c>
      <c r="H20" s="28" t="inlineStr">
        <is>
          <t>NOTAS DE CREDITO POR DEVOLUCION 100320204</t>
        </is>
      </c>
      <c r="I20" s="29" t="n">
        <v>-1250194.63</v>
      </c>
      <c r="J20" s="29" t="n">
        <v>-237536.98</v>
      </c>
      <c r="K20" s="30" t="n">
        <v>0</v>
      </c>
      <c r="L20" s="30" t="n">
        <v>0</v>
      </c>
      <c r="M20" s="30" t="n">
        <v>0</v>
      </c>
      <c r="N20" s="30" t="n">
        <v>0</v>
      </c>
      <c r="O20" s="29" t="n">
        <v>-1487731.61</v>
      </c>
    </row>
    <row r="21" ht="15.65" customHeight="1">
      <c r="A21" s="23" t="n"/>
      <c r="B21" s="23" t="n"/>
      <c r="C21" s="23" t="n"/>
      <c r="D21" s="23" t="n"/>
      <c r="E21" s="23" t="n"/>
      <c r="F21" s="26" t="inlineStr">
        <is>
          <t>NCF-DC05-16088</t>
        </is>
      </c>
      <c r="G21" s="27" t="n">
        <v>45840</v>
      </c>
      <c r="H21" s="28" t="inlineStr">
        <is>
          <t>Confidencial Acuerdo Fijo Mensual .4% 01-06-2025-30-06-20</t>
        </is>
      </c>
      <c r="I21" s="29" t="n">
        <v>-13948980.1</v>
      </c>
      <c r="J21" s="29" t="n">
        <v>0</v>
      </c>
      <c r="K21" s="30" t="n">
        <v>0</v>
      </c>
      <c r="L21" s="30" t="n">
        <v>0</v>
      </c>
      <c r="M21" s="30" t="n">
        <v>0</v>
      </c>
      <c r="N21" s="30" t="n">
        <v>0</v>
      </c>
      <c r="O21" s="29" t="n">
        <v>-13948980.1</v>
      </c>
    </row>
    <row r="22" ht="15.65" customHeight="1">
      <c r="A22" s="23" t="n"/>
      <c r="B22" s="23" t="n"/>
      <c r="C22" s="23" t="n"/>
      <c r="D22" s="23" t="n"/>
      <c r="E22" s="23" t="n"/>
      <c r="F22" s="26" t="inlineStr">
        <is>
          <t>PMP1254823</t>
        </is>
      </c>
      <c r="G22" s="27" t="n">
        <v>45830</v>
      </c>
      <c r="H22" s="28" t="inlineStr">
        <is>
          <t>OC:14002465 UNILEVER ANDINA COLOMBIA LTDA</t>
        </is>
      </c>
      <c r="I22" s="29" t="n">
        <v>101600994.42</v>
      </c>
      <c r="J22" s="29" t="n">
        <v>19304188.94</v>
      </c>
      <c r="K22" s="30" t="n">
        <v>0</v>
      </c>
      <c r="L22" s="30" t="n">
        <v>0</v>
      </c>
      <c r="M22" s="29" t="n">
        <v>0</v>
      </c>
      <c r="N22" s="30" t="n">
        <v>0</v>
      </c>
      <c r="O22" s="29" t="n">
        <v>120905183.36</v>
      </c>
    </row>
    <row r="23" ht="15.65" customHeight="1">
      <c r="A23" s="23" t="n"/>
      <c r="B23" s="23" t="n"/>
      <c r="C23" s="23" t="n"/>
      <c r="D23" s="23" t="n"/>
      <c r="E23" s="23" t="n"/>
      <c r="F23" s="26" t="inlineStr">
        <is>
          <t>PMP1257523</t>
        </is>
      </c>
      <c r="G23" s="27" t="n">
        <v>45837</v>
      </c>
      <c r="H23" s="28" t="inlineStr">
        <is>
          <t>OC:14002950 UNILEVER ANDINA COLOMBIA LTDA</t>
        </is>
      </c>
      <c r="I23" s="29" t="n">
        <v>18524835.52</v>
      </c>
      <c r="J23" s="29" t="n">
        <v>3519718.75</v>
      </c>
      <c r="K23" s="30" t="n">
        <v>0</v>
      </c>
      <c r="L23" s="30" t="n">
        <v>0</v>
      </c>
      <c r="M23" s="29" t="n"/>
      <c r="N23" s="30" t="n">
        <v>0</v>
      </c>
      <c r="O23" s="29">
        <f>+I23+J23</f>
        <v/>
      </c>
    </row>
    <row r="24" ht="15.65" customHeight="1">
      <c r="A24" s="23" t="n"/>
      <c r="B24" s="23" t="n"/>
      <c r="C24" s="23" t="n"/>
      <c r="D24" s="23" t="n"/>
      <c r="E24" s="23" t="n"/>
      <c r="F24" s="26" t="inlineStr">
        <is>
          <t>NC-PMP1257523</t>
        </is>
      </c>
      <c r="G24" s="27" t="n">
        <v>45837</v>
      </c>
      <c r="H24" s="28" t="inlineStr">
        <is>
          <t>OC:14004661 UNILEVER ANDINA COLOMBIA LTDA (DPP)</t>
        </is>
      </c>
      <c r="I24" s="29" t="n">
        <v>0</v>
      </c>
      <c r="J24" s="29" t="n">
        <v>0</v>
      </c>
      <c r="K24" s="30" t="n">
        <v>0</v>
      </c>
      <c r="L24" s="30" t="n">
        <v>0</v>
      </c>
      <c r="M24" s="29" t="n">
        <v>-370496.710420168</v>
      </c>
      <c r="N24" s="30" t="n">
        <v>0</v>
      </c>
      <c r="O24" s="29" t="n">
        <v>-370496.710420168</v>
      </c>
    </row>
    <row r="25" ht="15.65" customHeight="1">
      <c r="A25" s="23" t="n"/>
      <c r="B25" s="23" t="n"/>
      <c r="C25" s="23" t="n"/>
      <c r="D25" s="23" t="n"/>
      <c r="E25" s="23" t="n"/>
      <c r="F25" s="26" t="inlineStr">
        <is>
          <t>PMP1257525</t>
        </is>
      </c>
      <c r="G25" s="27" t="n">
        <v>45837</v>
      </c>
      <c r="H25" s="28" t="inlineStr">
        <is>
          <t>OC:14002954 UNILEVER ANDINA COLOMBIA LTDA</t>
        </is>
      </c>
      <c r="I25" s="29" t="n">
        <v>3414076.44</v>
      </c>
      <c r="J25" s="29" t="n">
        <v>648674.52</v>
      </c>
      <c r="K25" s="30" t="n">
        <v>0</v>
      </c>
      <c r="L25" s="30" t="n">
        <v>0</v>
      </c>
      <c r="M25" s="30" t="n"/>
      <c r="N25" s="30" t="n">
        <v>0</v>
      </c>
      <c r="O25" s="29" t="n">
        <v>4062750.96</v>
      </c>
    </row>
    <row r="26" ht="15.65" customHeight="1">
      <c r="A26" s="23" t="n"/>
      <c r="B26" s="23" t="n"/>
      <c r="C26" s="23" t="n"/>
      <c r="D26" s="23" t="n"/>
      <c r="E26" s="23" t="n"/>
      <c r="F26" s="26" t="inlineStr">
        <is>
          <t>NC-PMP1257525</t>
        </is>
      </c>
      <c r="G26" s="27" t="n">
        <v>45837</v>
      </c>
      <c r="H26" s="28" t="inlineStr">
        <is>
          <t>OC:14004661 UNILEVER ANDINA COLOMBIA LTDA (DPP)</t>
        </is>
      </c>
      <c r="I26" s="29" t="n">
        <v>0</v>
      </c>
      <c r="J26" s="29" t="n">
        <v>0</v>
      </c>
      <c r="K26" s="30" t="n">
        <v>0</v>
      </c>
      <c r="L26" s="30" t="n">
        <v>0</v>
      </c>
      <c r="M26" s="30" t="n">
        <v>-68281.5287394958</v>
      </c>
      <c r="N26" s="30" t="n">
        <v>0</v>
      </c>
      <c r="O26" s="29" t="n">
        <v>-68281.5287394958</v>
      </c>
    </row>
    <row r="27" ht="15.65" customHeight="1">
      <c r="A27" s="23" t="n"/>
      <c r="B27" s="23" t="n"/>
      <c r="C27" s="23" t="n"/>
      <c r="D27" s="23" t="n"/>
      <c r="E27" s="23" t="n"/>
      <c r="F27" s="26" t="inlineStr">
        <is>
          <t>PMP1257526</t>
        </is>
      </c>
      <c r="G27" s="27" t="n">
        <v>45837</v>
      </c>
      <c r="H27" s="28" t="inlineStr">
        <is>
          <t>OC:14002950 UNILEVER ANDINA COLOMBIA LTDA</t>
        </is>
      </c>
      <c r="I27" s="29" t="n">
        <v>7507426.32</v>
      </c>
      <c r="J27" s="29" t="n">
        <v>1426411</v>
      </c>
      <c r="K27" s="30" t="n">
        <v>0</v>
      </c>
      <c r="L27" s="30" t="n">
        <v>0</v>
      </c>
      <c r="M27" s="30" t="n"/>
      <c r="N27" s="30" t="n">
        <v>0</v>
      </c>
      <c r="O27" s="29" t="n">
        <v>8933837.32</v>
      </c>
    </row>
    <row r="28" ht="15.65" customHeight="1">
      <c r="A28" s="31" t="n"/>
      <c r="B28" s="31" t="n"/>
      <c r="C28" s="31" t="n"/>
      <c r="D28" s="31" t="n"/>
      <c r="E28" s="31" t="n"/>
      <c r="F28" s="26" t="inlineStr">
        <is>
          <t>NC-PMP1257526</t>
        </is>
      </c>
      <c r="G28" s="27" t="n">
        <v>45837</v>
      </c>
      <c r="H28" s="28" t="inlineStr">
        <is>
          <t>OC:14004661 UNILEVER ANDINA COLOMBIA LTDA (DPP)</t>
        </is>
      </c>
      <c r="I28" s="29" t="n">
        <v>0</v>
      </c>
      <c r="J28" s="29" t="n">
        <v>0</v>
      </c>
      <c r="K28" s="30" t="n">
        <v>0</v>
      </c>
      <c r="L28" s="30" t="n">
        <v>0</v>
      </c>
      <c r="M28" s="30" t="n">
        <v>-150148.526386555</v>
      </c>
      <c r="N28" s="30" t="n">
        <v>0</v>
      </c>
      <c r="O28" s="29" t="n">
        <v>-150148.526386555</v>
      </c>
    </row>
    <row r="29" ht="15.5" customHeight="1">
      <c r="A29" s="32" t="inlineStr">
        <is>
          <t>                    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2025-09-07T10:35:54Z</dcterms:created>
  <dcterms:modified xsi:type="dcterms:W3CDTF">2025-09-07T10:35:55Z</dcterms:modified>
</cp:coreProperties>
</file>